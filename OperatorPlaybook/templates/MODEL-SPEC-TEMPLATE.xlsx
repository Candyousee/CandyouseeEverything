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rief" sheetId="2" state="visible" r:id="rId4"/>
    <sheet name="Parts" sheetId="3" state="visible" r:id="rId5"/>
    <sheet name="LODs" sheetId="4" state="visible" r:id="rId6"/>
    <sheet name="Textures" sheetId="5" state="visible" r:id="rId7"/>
    <sheet name="Acceptance" sheetId="6" state="visible" r:id="rId8"/>
    <sheet name="Uploads" sheetId="7" state="visible" r:id="rId9"/>
    <sheet name="Tool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Roblox 3D Importer / Open Cloud mesh limit (PIPELINE.md, M2 lesson 2026-09-29).</t>
        </r>
      </text>
    </comment>
  </commentList>
</comments>
</file>

<file path=xl/sharedStrings.xml><?xml version="1.0" encoding="utf-8"?>
<sst xmlns="http://schemas.openxmlformats.org/spreadsheetml/2006/main" count="321" uniqueCount="247">
  <si>
    <t xml:space="preserve">3D Model Spec Sheet (Roblox, Blender pipeline)</t>
  </si>
  <si>
    <t xml:space="preserve">Reusable template. One workbook per model. Built 2026-09-30 from STANDING-RULES 35b/38/40/45/47/51/55/57 + PIPELINE.md lessons.</t>
  </si>
  <si>
    <t xml:space="preserve">How to use</t>
  </si>
  <si>
    <t xml:space="preserve">1</t>
  </si>
  <si>
    <t xml:space="preserve">Fill the Brief tab first (subject, style, size, where it appears). Nothing downstream starts until the Brief is approved.</t>
  </si>
  <si>
    <t xml:space="preserve">2</t>
  </si>
  <si>
    <t xml:space="preserve">List every mesh on the Parts tab with its triangle budget. Type the real triangle count after each Blender export; the sheet flags anything over budget or over Roblox's 20,000-per-mesh import cap.</t>
  </si>
  <si>
    <t xml:space="preserve">3</t>
  </si>
  <si>
    <t xml:space="preserve">List every texture map on Textures; record asset IDs on Uploads after the Open Cloud upload (ClaudePlugins/tools/oc_upload.ps1).</t>
  </si>
  <si>
    <t xml:space="preserve">4</t>
  </si>
  <si>
    <t xml:space="preserve">Work through the Acceptance tab. The model is DONE only when the Gate cell reads PASS (every required check = Pass or N/A).</t>
  </si>
  <si>
    <t xml:space="preserve">Colour key</t>
  </si>
  <si>
    <t xml:space="preserve">Yellow cell, blue text</t>
  </si>
  <si>
    <t xml:space="preserve">Input: type here.</t>
  </si>
  <si>
    <t xml:space="preserve">Light-blue row</t>
  </si>
  <si>
    <t xml:space="preserve">Example row (a treasure chest) showing the expected format. Overwrite or delete it.</t>
  </si>
  <si>
    <t xml:space="preserve">Black text, no fill</t>
  </si>
  <si>
    <t xml:space="preserve">Formula: do not type over it.</t>
  </si>
  <si>
    <t xml:space="preserve">Red / green fill</t>
  </si>
  <si>
    <t xml:space="preserve">Automatic: over budget / failed check vs within budget / passed.</t>
  </si>
  <si>
    <t xml:space="preserve">Hard limits (never overridden)</t>
  </si>
  <si>
    <t xml:space="preserve">Money</t>
  </si>
  <si>
    <t xml:space="preserve">NO money, NO Robux, credits or paid trials, ever. Free tools, free uploads and free accounts are all fine.</t>
  </si>
  <si>
    <t xml:space="preserve">Access</t>
  </si>
  <si>
    <t xml:space="preserve">Never make an experience public or change its access.</t>
  </si>
  <si>
    <t xml:space="preserve">Crash safety</t>
  </si>
  <si>
    <t xml:space="preserve">Never send non-image files to Studio upload_image/store_image. Material Maker is GUI only.</t>
  </si>
  <si>
    <t xml:space="preserve">Roblox numbers used here</t>
  </si>
  <si>
    <t xml:space="preserve">Tri cap per mesh</t>
  </si>
  <si>
    <t xml:space="preserve">20,000 triangles (Roblox import limit; split bigger hero props into several meshes sharing ONE atlas).</t>
  </si>
  <si>
    <t xml:space="preserve">Texture size</t>
  </si>
  <si>
    <t xml:space="preserve">1024 px runtime maps are the default; up to 2048 only for a hero piece, and record why.</t>
  </si>
  <si>
    <t xml:space="preserve">PBR</t>
  </si>
  <si>
    <t xml:space="preserve">SurfaceAppearance: Color, Normal (OpenGL tangent space), Roughness, Metalness.</t>
  </si>
  <si>
    <t xml:space="preserve">Brief</t>
  </si>
  <si>
    <t xml:space="preserve">One page. Approved once by the owner; then no back-and-forth (PIPELINE.md step 1).</t>
  </si>
  <si>
    <t xml:space="preserve">Field</t>
  </si>
  <si>
    <t xml:space="preserve">Value</t>
  </si>
  <si>
    <t xml:space="preserve">Guidance</t>
  </si>
  <si>
    <t xml:space="preserve">Model name</t>
  </si>
  <si>
    <t xml:space="preserve">Treasure_Chest_Mythic</t>
  </si>
  <si>
    <t xml:space="preserve">Short PascalCase; becomes the FBX / asset name.</t>
  </si>
  <si>
    <t xml:space="preserve">Project / game</t>
  </si>
  <si>
    <t xml:space="preserve">Inspect the Package</t>
  </si>
  <si>
    <t xml:space="preserve">Which place it ships in, or 'standalone pack'.</t>
  </si>
  <si>
    <t xml:space="preserve">Use</t>
  </si>
  <si>
    <t xml:space="preserve">Game prop</t>
  </si>
  <si>
    <t xml:space="preserve">Game prop / Pet / Character / Cosmetic / Environment / Sale pack</t>
  </si>
  <si>
    <t xml:space="preserve">Art style</t>
  </si>
  <si>
    <t xml:space="preserve">Cartoony Roblox-simulator: chunky bevels, candy colours, 1 shadow tone + 1 highlight</t>
  </si>
  <si>
    <t xml:space="preserve">Match the game's art bible; no realistic render look unless asked.</t>
  </si>
  <si>
    <t xml:space="preserve">Size in studs (L x W x H)</t>
  </si>
  <si>
    <t xml:space="preserve">4 x 2.6 x 3</t>
  </si>
  <si>
    <t xml:space="preserve">Measure against a 5-stud R15 avatar.</t>
  </si>
  <si>
    <t xml:space="preserve">Where it appears</t>
  </si>
  <si>
    <t xml:space="preserve">Hall of Fame shelf, reward popup preview, roam area</t>
  </si>
  <si>
    <t xml:space="preserve">Rule 47: EVERY place it appears gets the same model.</t>
  </si>
  <si>
    <t xml:space="preserve">Hero view distance (studs)</t>
  </si>
  <si>
    <t xml:space="preserve">Closest normal camera distance; drives detail level.</t>
  </si>
  <si>
    <t xml:space="preserve">Animated?</t>
  </si>
  <si>
    <t xml:space="preserve">Lid open (hinge bone)</t>
  </si>
  <si>
    <t xml:space="preserve">None / hinge / full rig (R15 or custom).</t>
  </si>
  <si>
    <t xml:space="preserve">Premium / named item?</t>
  </si>
  <si>
    <t xml:space="preserve">Yes: Mythic</t>
  </si>
  <si>
    <t xml:space="preserve">Rule 30: premium gets VFX at Veilblade quality; plain items get none.</t>
  </si>
  <si>
    <t xml:space="preserve">References (2-5)</t>
  </si>
  <si>
    <t xml:space="preserve">refs/REF-01.png, refs/REF-02.png</t>
  </si>
  <si>
    <t xml:space="preserve">Paths to the owner's reference images.</t>
  </si>
  <si>
    <t xml:space="preserve">Front direction</t>
  </si>
  <si>
    <t xml:space="preserve">-Z</t>
  </si>
  <si>
    <t xml:space="preserve">Roblox front; previews sway, never spin (rule 36).</t>
  </si>
  <si>
    <t xml:space="preserve">Resale planned?</t>
  </si>
  <si>
    <t xml:space="preserve">No</t>
  </si>
  <si>
    <t xml:space="preserve">If Yes: no Hunyuan3D-2 geometry, no Mixamo raw files, licences on Tools tab.</t>
  </si>
  <si>
    <t xml:space="preserve">Owner approved on</t>
  </si>
  <si>
    <t xml:space="preserve">Date the owner said the brief is final (rule 8).</t>
  </si>
  <si>
    <t xml:space="preserve">Parts and triangle budget</t>
  </si>
  <si>
    <t xml:space="preserve">One row per exported mesh (MeshPart). Cap = 20,000 triangles per mesh.</t>
  </si>
  <si>
    <t xml:space="preserve">Roblox tri cap per mesh</t>
  </si>
  <si>
    <t xml:space="preserve">ID</t>
  </si>
  <si>
    <t xml:space="preserve">Mesh name</t>
  </si>
  <si>
    <t xml:space="preserve">What it is</t>
  </si>
  <si>
    <t xml:space="preserve">LOD</t>
  </si>
  <si>
    <t xml:space="preserve">Tri budget</t>
  </si>
  <si>
    <t xml:space="preserve">Actual tris</t>
  </si>
  <si>
    <t xml:space="preserve">% of budget</t>
  </si>
  <si>
    <t xml:space="preserve">Budget check</t>
  </si>
  <si>
    <t xml:space="preserve">Cap check</t>
  </si>
  <si>
    <t xml:space="preserve">Material / atlas cell</t>
  </si>
  <si>
    <t xml:space="preserve">Texture set</t>
  </si>
  <si>
    <t xml:space="preserve">UVs 0-1, 1 set?</t>
  </si>
  <si>
    <t xml:space="preserve">Status</t>
  </si>
  <si>
    <t xml:space="preserve">Made with</t>
  </si>
  <si>
    <t xml:space="preserve">Notes</t>
  </si>
  <si>
    <t xml:space="preserve">P-01</t>
  </si>
  <si>
    <t xml:space="preserve">Chest_Body</t>
  </si>
  <si>
    <t xml:space="preserve">Box, bevelled planks, metal corner caps</t>
  </si>
  <si>
    <t xml:space="preserve">LOD0</t>
  </si>
  <si>
    <t xml:space="preserve">Atlas: Wood_A + Gold_Trim</t>
  </si>
  <si>
    <t xml:space="preserve">TX-01</t>
  </si>
  <si>
    <t xml:space="preserve">Yes</t>
  </si>
  <si>
    <t xml:space="preserve">Approved</t>
  </si>
  <si>
    <t xml:space="preserve">Blender 5.2</t>
  </si>
  <si>
    <t xml:space="preserve">Corners are one mesh with the box (no floating caps).</t>
  </si>
  <si>
    <t xml:space="preserve">P-02</t>
  </si>
  <si>
    <t xml:space="preserve">Chest_Lid</t>
  </si>
  <si>
    <t xml:space="preserve">TOTAL (LOD0 only)</t>
  </si>
  <si>
    <t xml:space="preserve">LOD plan</t>
  </si>
  <si>
    <t xml:space="preserve">Targets vs actuals pulled from the Parts tab. Skip LOD1/2 for small props seen only up close.</t>
  </si>
  <si>
    <t xml:space="preserve">Target total tris</t>
  </si>
  <si>
    <t xml:space="preserve">Actual total tris (from Parts)</t>
  </si>
  <si>
    <t xml:space="preserve">Check</t>
  </si>
  <si>
    <t xml:space="preserve">Switch distance (studs)</t>
  </si>
  <si>
    <t xml:space="preserve">Hero; closest camera.</t>
  </si>
  <si>
    <t xml:space="preserve">LOD1</t>
  </si>
  <si>
    <t xml:space="preserve">Keep silhouette; merge small trims.</t>
  </si>
  <si>
    <t xml:space="preserve">LOD2</t>
  </si>
  <si>
    <t xml:space="preserve">Silhouette only.</t>
  </si>
  <si>
    <t xml:space="preserve">Texture maps</t>
  </si>
  <si>
    <t xml:space="preserve">SurfaceAppearance set per atlas. Runtime default 1024 px; 2048 only for hero pieces (say why in Notes).</t>
  </si>
  <si>
    <t xml:space="preserve">Map name</t>
  </si>
  <si>
    <t xml:space="preserve">Type</t>
  </si>
  <si>
    <t xml:space="preserve">Resolution (px)</t>
  </si>
  <si>
    <t xml:space="preserve">Size check</t>
  </si>
  <si>
    <t xml:space="preserve">Atlas / used by</t>
  </si>
  <si>
    <t xml:space="preserve">Asset ID</t>
  </si>
  <si>
    <t xml:space="preserve">Chest_Color.png</t>
  </si>
  <si>
    <t xml:space="preserve">Color</t>
  </si>
  <si>
    <t xml:space="preserve">P-01, P-02</t>
  </si>
  <si>
    <t xml:space="preserve">Blender bake + Krita paint</t>
  </si>
  <si>
    <t xml:space="preserve">Palette matches art bible; ~10% less saturated (rule 51).</t>
  </si>
  <si>
    <t xml:space="preserve">Acceptance gate</t>
  </si>
  <si>
    <t xml:space="preserve">The model is done only when the Gate reads PASS. Every row comes from an owner rule or a past miss.</t>
  </si>
  <si>
    <t xml:space="preserve">#</t>
  </si>
  <si>
    <t xml:space="preserve">Area</t>
  </si>
  <si>
    <t xml:space="preserve">Source rule</t>
  </si>
  <si>
    <t xml:space="preserve">Result</t>
  </si>
  <si>
    <t xml:space="preserve">Evidence (screenshot / log path)</t>
  </si>
  <si>
    <t xml:space="preserve">Shape</t>
  </si>
  <si>
    <t xml:space="preserve">Silhouette reads as the subject at a glance from 3 distances (hero, 25, 70 studs)</t>
  </si>
  <si>
    <t xml:space="preserve">Lean-path 3</t>
  </si>
  <si>
    <t xml:space="preserve">Pending</t>
  </si>
  <si>
    <t xml:space="preserve">Matches the references side by side (proportions within ~3%)</t>
  </si>
  <si>
    <t xml:space="preserve">PIPELINE 4</t>
  </si>
  <si>
    <t xml:space="preserve">Made in Blender; no Studio primitive parts on anything visible</t>
  </si>
  <si>
    <t xml:space="preserve">Rule 45</t>
  </si>
  <si>
    <t xml:space="preserve">Any symbol or glyph on the model is one seamless mesh or a decal, never stacked parts</t>
  </si>
  <si>
    <t xml:space="preserve">Rule 35b</t>
  </si>
  <si>
    <t xml:space="preserve">Clean geometry</t>
  </si>
  <si>
    <t xml:space="preserve">No interpenetration, z-fighting, floating gaps or parts poking through (automated overlap audit + close-ups)</t>
  </si>
  <si>
    <t xml:space="preserve">Lean-path 6 / Rule 47</t>
  </si>
  <si>
    <t xml:space="preserve">Resting contact: sits ON its surface, no float, no sinking</t>
  </si>
  <si>
    <t xml:space="preserve">Rule 51</t>
  </si>
  <si>
    <t xml:space="preserve">Raycast support audit: 4 bottom corners + centre, float &lt;= 0.03 studs, no unsupported corner (legs/feet/stands included)</t>
  </si>
  <si>
    <t xml:space="preserve">Rule 55</t>
  </si>
  <si>
    <t xml:space="preserve">Nothing lies over or through a functional surface (belts, walk paths, desk work area, seats)</t>
  </si>
  <si>
    <t xml:space="preserve">Rule 57</t>
  </si>
  <si>
    <t xml:space="preserve">Normals outward, no non-manifold edges, no zero-area faces; FBX re-import shows 0 problems</t>
  </si>
  <si>
    <t xml:space="preserve">PIPELINE M1/M2</t>
  </si>
  <si>
    <t xml:space="preserve">Mesh and UV</t>
  </si>
  <si>
    <t xml:space="preserve">Every mesh &lt;= 20,000 tris (Parts tab shows 0 to split)</t>
  </si>
  <si>
    <t xml:space="preserve">Roblox cap</t>
  </si>
  <si>
    <t xml:space="preserve">Several sizes of one family = one mesh per size, not non-uniform scaling</t>
  </si>
  <si>
    <t xml:space="preserve">PIPELINE M2</t>
  </si>
  <si>
    <t xml:space="preserve">One 0-1 UV set per mesh; shared atlas across split parts</t>
  </si>
  <si>
    <t xml:space="preserve">Look</t>
  </si>
  <si>
    <t xml:space="preserve">Colour matches the name and no lookalike with another item (contact sheet)</t>
  </si>
  <si>
    <t xml:space="preserve">Rule 40</t>
  </si>
  <si>
    <t xml:space="preserve">Colour grade ~10% less saturated than first instinct; bright and toy-like, not blown out</t>
  </si>
  <si>
    <t xml:space="preserve">Rule 51 / 42</t>
  </si>
  <si>
    <t xml:space="preserve">Premium item: effects at Veilblade quality in the game's style; plain item: no effects</t>
  </si>
  <si>
    <t xml:space="preserve">Rule 30</t>
  </si>
  <si>
    <t xml:space="preserve">Shines and glints stay on the surface, never stick out into the air</t>
  </si>
  <si>
    <t xml:space="preserve">Rule 38</t>
  </si>
  <si>
    <t xml:space="preserve">Views</t>
  </si>
  <si>
    <t xml:space="preserve">Close-ups from several angles INCLUDING low back corners, not just hero shots</t>
  </si>
  <si>
    <t xml:space="preserve">Rule 51 / 55</t>
  </si>
  <si>
    <t xml:space="preserve">3D previews keep the front toward the viewer (sway, not spin)</t>
  </si>
  <si>
    <t xml:space="preserve">Rule 36</t>
  </si>
  <si>
    <t xml:space="preserve">Swapped in at EVERY place it appears (shelves, previews, cards, tutorial)</t>
  </si>
  <si>
    <t xml:space="preserve">Rule 47</t>
  </si>
  <si>
    <t xml:space="preserve">Pipeline</t>
  </si>
  <si>
    <t xml:space="preserve">Pivot / PrimaryPart PivotOffset set to the intended origin; front = -Z</t>
  </si>
  <si>
    <t xml:space="preserve">PIPELINE P2</t>
  </si>
  <si>
    <t xml:space="preserve">Uploaded via Open Cloud; asset IDs written into source (no Studio-only edits)</t>
  </si>
  <si>
    <t xml:space="preserve">Rule 39</t>
  </si>
  <si>
    <t xml:space="preserve">Old stand-in or placeholder removed WITH its code</t>
  </si>
  <si>
    <t xml:space="preserve">Rule 53</t>
  </si>
  <si>
    <t xml:space="preserve">Licences recorded; no Hunyuan3D-2 geometry if resale planned</t>
  </si>
  <si>
    <t xml:space="preserve">Tools tab</t>
  </si>
  <si>
    <t xml:space="preserve">Budget</t>
  </si>
  <si>
    <t xml:space="preserve">Zero money / Robux spent</t>
  </si>
  <si>
    <t xml:space="preserve">Hard limit</t>
  </si>
  <si>
    <t xml:space="preserve">Passed</t>
  </si>
  <si>
    <t xml:space="preserve">N/A</t>
  </si>
  <si>
    <t xml:space="preserve">Failed</t>
  </si>
  <si>
    <t xml:space="preserve">Total checks</t>
  </si>
  <si>
    <t xml:space="preserve">GATE</t>
  </si>
  <si>
    <t xml:space="preserve">Uploads and wiring</t>
  </si>
  <si>
    <t xml:space="preserve">Every uploaded file. Tool: ClaudePlugins/tools/oc_upload.ps1 (key read from env, never printed).</t>
  </si>
  <si>
    <t xml:space="preserve">File</t>
  </si>
  <si>
    <t xml:space="preserve">Kind</t>
  </si>
  <si>
    <t xml:space="preserve">Creator</t>
  </si>
  <si>
    <t xml:space="preserve">Uploaded (date)</t>
  </si>
  <si>
    <t xml:space="preserve">Wired into (source path)</t>
  </si>
  <si>
    <t xml:space="preserve">In place (verified)?</t>
  </si>
  <si>
    <t xml:space="preserve">Chest_Mythic.fbx</t>
  </si>
  <si>
    <t xml:space="preserve">Mesh</t>
  </si>
  <si>
    <t xml:space="preserve">User 513451560</t>
  </si>
  <si>
    <t xml:space="preserve">SRC/shared/Assets.luau</t>
  </si>
  <si>
    <t xml:space="preserve">Group experiences need asset-use permission granted.</t>
  </si>
  <si>
    <t xml:space="preserve">Toolchain and licences</t>
  </si>
  <si>
    <t xml:space="preserve">All free. Re-verify licences each project (lean-path 1). Nothing here costs money.</t>
  </si>
  <si>
    <t xml:space="preserve">Step</t>
  </si>
  <si>
    <t xml:space="preserve">Tool</t>
  </si>
  <si>
    <t xml:space="preserve">Cost</t>
  </si>
  <si>
    <t xml:space="preserve">Commercial use in games</t>
  </si>
  <si>
    <t xml:space="preserve">Resale of the asset</t>
  </si>
  <si>
    <t xml:space="preserve">Catch</t>
  </si>
  <si>
    <t xml:space="preserve">Concept frames</t>
  </si>
  <si>
    <t xml:space="preserve">ComfyUI + FLUX.1-schnell / SDXL / Qwen-Image (local, D:\AI)</t>
  </si>
  <si>
    <t xml:space="preserve">$0</t>
  </si>
  <si>
    <t xml:space="preserve">Style frames only; not shipped.</t>
  </si>
  <si>
    <t xml:space="preserve">Base shape (optional)</t>
  </si>
  <si>
    <t xml:space="preserve">Hunyuan3D-2 (local)</t>
  </si>
  <si>
    <t xml:space="preserve">Yes (not EU/UK/KR)</t>
  </si>
  <si>
    <t xml:space="preserve">Shape guide only; never shipped geometry in sale packs.</t>
  </si>
  <si>
    <t xml:space="preserve">Modeling / retopo / UV / bake</t>
  </si>
  <si>
    <t xml:space="preserve">Blender 5.2 + Roblox add-on</t>
  </si>
  <si>
    <t xml:space="preserve">Your output is yours (GPL covers the program, not your models).</t>
  </si>
  <si>
    <t xml:space="preserve">Anime characters</t>
  </si>
  <si>
    <t xml:space="preserve">VRoid Studio + Blender VRM add-on</t>
  </si>
  <si>
    <t xml:space="preserve">Scripted faces not acceptable for anime (lean-path 1).</t>
  </si>
  <si>
    <t xml:space="preserve">Rig / animation base</t>
  </si>
  <si>
    <t xml:space="preserve">Mixamo (owner's Adobe login) + Blender retarget</t>
  </si>
  <si>
    <t xml:space="preserve">Yes, inside games</t>
  </si>
  <si>
    <t xml:space="preserve">No (raw files)</t>
  </si>
  <si>
    <t xml:space="preserve">Hand-polish hero moves.</t>
  </si>
  <si>
    <t xml:space="preserve">PBR textures</t>
  </si>
  <si>
    <t xml:space="preserve">Material Maker (GUI only) / Blender / Krita</t>
  </si>
  <si>
    <t xml:space="preserve">Material Maker CLI crashes: GUI only.</t>
  </si>
  <si>
    <t xml:space="preserve">Upscale / cutout</t>
  </si>
  <si>
    <t xml:space="preserve">Real-ESRGAN, rembg</t>
  </si>
  <si>
    <t xml:space="preserve">Upload</t>
  </si>
  <si>
    <t xml:space="preserve">Open Cloud via oc_upload.ps1</t>
  </si>
  <si>
    <t xml:space="preserve">n/a</t>
  </si>
  <si>
    <t xml:space="preserve">Key in USER env var ROBLOX_API_KEY; never printed or logged.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</si>
</sst>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4B3"/>
        <bgColor rgb="FFFFFF99"/>
      </patternFill>
    </fill>
    <fill>
      <patternFill patternType="solid">
        <fgColor rgb="FFEAF2FB"/>
        <bgColor rgb="FFDDE6EE"/>
      </patternFill>
    </fill>
    <fill>
      <patternFill patternType="solid">
        <fgColor rgb="FFF8C9C4"/>
        <bgColor rgb="FFDDE6EE"/>
      </patternFill>
    </fill>
    <fill>
      <patternFill patternType="solid">
        <fgColor rgb="FF1F3A5F"/>
        <bgColor rgb="FF333399"/>
      </patternFill>
    </fill>
    <fill>
      <patternFill patternType="solid">
        <fgColor rgb="FFDDE6EE"/>
        <bgColor rgb="FFCFEB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CF"/>
      </left>
      <right style="thin">
        <color rgb="FFB7C3CF"/>
      </right>
      <top style="thin">
        <color rgb="FFB7C3CF"/>
      </top>
      <bottom style="thin">
        <color rgb="FFB7C3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FEBD3"/>
        </patternFill>
      </fill>
    </dxf>
    <dxf>
      <fill>
        <patternFill>
          <bgColor rgb="FFF8C9C4"/>
        </patternFill>
      </fill>
    </dxf>
    <dxf>
      <fill>
        <patternFill>
          <bgColor rgb="FFFFF4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CF"/>
      <rgbColor rgb="FF7F7F7F"/>
      <rgbColor rgb="FF9999FF"/>
      <rgbColor rgb="FFC0504D"/>
      <rgbColor rgb="FFFFF4B3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EE"/>
      <rgbColor rgb="FFCFEBD3"/>
      <rgbColor rgb="FFFFFF99"/>
      <rgbColor rgb="FF99CCFF"/>
      <rgbColor rgb="FFFF99CC"/>
      <rgbColor rgb="FFCC99FF"/>
      <rgbColor rgb="FFF8C9C4"/>
      <rgbColor rgb="FF3C8DBC"/>
      <rgbColor rgb="FF33CCCC"/>
      <rgbColor rgb="FF99CC00"/>
      <rgbColor rgb="FFFFCC00"/>
      <rgbColor rgb="FFF2B134"/>
      <rgbColor rgb="FFFF6600"/>
      <rgbColor rgb="FF8E6CC0"/>
      <rgbColor rgb="FF969696"/>
      <rgbColor rgb="FF1F3A5F"/>
      <rgbColor rgb="FF2E9E5B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26.85" hidden="false" customHeight="false" outlineLevel="0" collapsed="false">
      <c r="A6" s="5" t="s">
        <v>5</v>
      </c>
      <c r="B6" s="4" t="s">
        <v>6</v>
      </c>
    </row>
    <row r="7" customFormat="false" ht="26.85" hidden="false" customHeight="false" outlineLevel="0" collapsed="false">
      <c r="A7" s="5" t="s">
        <v>7</v>
      </c>
      <c r="B7" s="4" t="s">
        <v>8</v>
      </c>
    </row>
    <row r="8" customFormat="false" ht="26.8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6" t="s">
        <v>12</v>
      </c>
      <c r="B11" s="4" t="s">
        <v>13</v>
      </c>
    </row>
    <row r="12" customFormat="false" ht="15" hidden="false" customHeight="false" outlineLevel="0" collapsed="false">
      <c r="A12" s="7" t="s">
        <v>14</v>
      </c>
      <c r="B12" s="4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8" t="s">
        <v>18</v>
      </c>
      <c r="B14" s="4" t="s">
        <v>19</v>
      </c>
    </row>
    <row r="15" customFormat="false" ht="15" hidden="false" customHeight="false" outlineLevel="0" collapsed="false">
      <c r="A15" s="5"/>
      <c r="B15" s="4"/>
    </row>
    <row r="16" customFormat="false" ht="15" hidden="false" customHeight="false" outlineLevel="0" collapsed="false">
      <c r="A16" s="3" t="s">
        <v>20</v>
      </c>
      <c r="B16" s="4"/>
    </row>
    <row r="17" customFormat="false" ht="1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5" t="s">
        <v>23</v>
      </c>
      <c r="B18" s="4" t="s">
        <v>24</v>
      </c>
    </row>
    <row r="19" customFormat="false" ht="15" hidden="false" customHeight="false" outlineLevel="0" collapsed="false">
      <c r="A19" s="5" t="s">
        <v>25</v>
      </c>
      <c r="B19" s="4" t="s">
        <v>26</v>
      </c>
    </row>
    <row r="20" customFormat="false" ht="15" hidden="false" customHeight="false" outlineLevel="0" collapsed="false">
      <c r="A20" s="5"/>
      <c r="B20" s="4"/>
    </row>
    <row r="21" customFormat="false" ht="15" hidden="false" customHeight="false" outlineLevel="0" collapsed="false">
      <c r="A21" s="3" t="s">
        <v>27</v>
      </c>
      <c r="B21" s="4"/>
    </row>
    <row r="22" customFormat="false" ht="15" hidden="false" customHeight="false" outlineLevel="0" collapsed="false">
      <c r="A22" s="5" t="s">
        <v>28</v>
      </c>
      <c r="B22" s="4" t="s">
        <v>29</v>
      </c>
    </row>
    <row r="23" customFormat="false" ht="15" hidden="false" customHeight="false" outlineLevel="0" collapsed="false">
      <c r="A23" s="5" t="s">
        <v>30</v>
      </c>
      <c r="B23" s="4" t="s">
        <v>31</v>
      </c>
    </row>
    <row r="24" customFormat="false" ht="15" hidden="false" customHeight="false" outlineLevel="0" collapsed="false">
      <c r="A24" s="5" t="s">
        <v>32</v>
      </c>
      <c r="B24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B134"/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5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1.5" hidden="false" customHeight="true" outlineLevel="0" collapsed="false">
      <c r="A4" s="9" t="s">
        <v>36</v>
      </c>
      <c r="B4" s="9" t="s">
        <v>37</v>
      </c>
      <c r="C4" s="9" t="s">
        <v>38</v>
      </c>
    </row>
    <row r="5" customFormat="false" ht="15" hidden="false" customHeight="false" outlineLevel="0" collapsed="false">
      <c r="A5" s="10" t="s">
        <v>39</v>
      </c>
      <c r="B5" s="11" t="s">
        <v>40</v>
      </c>
      <c r="C5" s="12" t="s">
        <v>41</v>
      </c>
    </row>
    <row r="6" customFormat="false" ht="15" hidden="false" customHeight="false" outlineLevel="0" collapsed="false">
      <c r="A6" s="10" t="s">
        <v>42</v>
      </c>
      <c r="B6" s="11" t="s">
        <v>43</v>
      </c>
      <c r="C6" s="12" t="s">
        <v>44</v>
      </c>
    </row>
    <row r="7" customFormat="false" ht="15" hidden="false" customHeight="false" outlineLevel="0" collapsed="false">
      <c r="A7" s="10" t="s">
        <v>45</v>
      </c>
      <c r="B7" s="11" t="s">
        <v>46</v>
      </c>
      <c r="C7" s="12" t="s">
        <v>47</v>
      </c>
    </row>
    <row r="8" customFormat="false" ht="26.85" hidden="false" customHeight="false" outlineLevel="0" collapsed="false">
      <c r="A8" s="10" t="s">
        <v>48</v>
      </c>
      <c r="B8" s="11" t="s">
        <v>49</v>
      </c>
      <c r="C8" s="12" t="s">
        <v>50</v>
      </c>
    </row>
    <row r="9" customFormat="false" ht="15" hidden="false" customHeight="false" outlineLevel="0" collapsed="false">
      <c r="A9" s="10" t="s">
        <v>51</v>
      </c>
      <c r="B9" s="11" t="s">
        <v>52</v>
      </c>
      <c r="C9" s="12" t="s">
        <v>53</v>
      </c>
    </row>
    <row r="10" customFormat="false" ht="15" hidden="false" customHeight="false" outlineLevel="0" collapsed="false">
      <c r="A10" s="10" t="s">
        <v>54</v>
      </c>
      <c r="B10" s="11" t="s">
        <v>55</v>
      </c>
      <c r="C10" s="12" t="s">
        <v>56</v>
      </c>
    </row>
    <row r="11" customFormat="false" ht="26.85" hidden="false" customHeight="false" outlineLevel="0" collapsed="false">
      <c r="A11" s="10" t="s">
        <v>57</v>
      </c>
      <c r="B11" s="11" t="n">
        <v>8</v>
      </c>
      <c r="C11" s="12" t="s">
        <v>58</v>
      </c>
    </row>
    <row r="12" customFormat="false" ht="15" hidden="false" customHeight="false" outlineLevel="0" collapsed="false">
      <c r="A12" s="10" t="s">
        <v>59</v>
      </c>
      <c r="B12" s="11" t="s">
        <v>60</v>
      </c>
      <c r="C12" s="12" t="s">
        <v>61</v>
      </c>
    </row>
    <row r="13" customFormat="false" ht="15" hidden="false" customHeight="false" outlineLevel="0" collapsed="false">
      <c r="A13" s="10" t="s">
        <v>62</v>
      </c>
      <c r="B13" s="11" t="s">
        <v>63</v>
      </c>
      <c r="C13" s="12" t="s">
        <v>64</v>
      </c>
    </row>
    <row r="14" customFormat="false" ht="15" hidden="false" customHeight="false" outlineLevel="0" collapsed="false">
      <c r="A14" s="10" t="s">
        <v>65</v>
      </c>
      <c r="B14" s="11" t="s">
        <v>66</v>
      </c>
      <c r="C14" s="12" t="s">
        <v>67</v>
      </c>
    </row>
    <row r="15" customFormat="false" ht="15" hidden="false" customHeight="false" outlineLevel="0" collapsed="false">
      <c r="A15" s="10" t="s">
        <v>68</v>
      </c>
      <c r="B15" s="11" t="s">
        <v>69</v>
      </c>
      <c r="C15" s="12" t="s">
        <v>70</v>
      </c>
    </row>
    <row r="16" customFormat="false" ht="15" hidden="false" customHeight="false" outlineLevel="0" collapsed="false">
      <c r="A16" s="10" t="s">
        <v>71</v>
      </c>
      <c r="B16" s="11" t="s">
        <v>72</v>
      </c>
      <c r="C16" s="12" t="s">
        <v>73</v>
      </c>
    </row>
    <row r="17" customFormat="false" ht="15" hidden="false" customHeight="false" outlineLevel="0" collapsed="false">
      <c r="A17" s="10" t="s">
        <v>74</v>
      </c>
      <c r="B17" s="11"/>
      <c r="C17" s="12" t="s">
        <v>75</v>
      </c>
    </row>
  </sheetData>
  <dataValidations count="2">
    <dataValidation allowBlank="true" errorStyle="stop" operator="between" showDropDown="false" showErrorMessage="false" showInputMessage="false" sqref="B7" type="list">
      <formula1>"Game prop,Pet,Character,Cosmetic,Environment,Sale pack"</formula1>
      <formula2>0</formula2>
    </dataValidation>
    <dataValidation allowBlank="true" errorStyle="stop" operator="between" showDropDown="false" showErrorMessage="false" showInputMessage="false" sqref="B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8DBC"/>
    <pageSetUpPr fitToPage="false"/>
  </sheetPr>
  <dimension ref="A1:O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7" min="5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13" t="s">
        <v>78</v>
      </c>
      <c r="C3" s="14" t="n">
        <v>20000</v>
      </c>
    </row>
    <row r="5" customFormat="false" ht="31.5" hidden="false" customHeight="true" outlineLevel="0" collapsed="false">
      <c r="A5" s="9" t="s">
        <v>79</v>
      </c>
      <c r="B5" s="9" t="s">
        <v>80</v>
      </c>
      <c r="C5" s="9" t="s">
        <v>81</v>
      </c>
      <c r="D5" s="9" t="s">
        <v>82</v>
      </c>
      <c r="E5" s="9" t="s">
        <v>83</v>
      </c>
      <c r="F5" s="9" t="s">
        <v>84</v>
      </c>
      <c r="G5" s="9" t="s">
        <v>85</v>
      </c>
      <c r="H5" s="9" t="s">
        <v>86</v>
      </c>
      <c r="I5" s="9" t="s">
        <v>87</v>
      </c>
      <c r="J5" s="9" t="s">
        <v>88</v>
      </c>
      <c r="K5" s="9" t="s">
        <v>89</v>
      </c>
      <c r="L5" s="9" t="s">
        <v>90</v>
      </c>
      <c r="M5" s="9" t="s">
        <v>91</v>
      </c>
      <c r="N5" s="9" t="s">
        <v>92</v>
      </c>
      <c r="O5" s="9" t="s">
        <v>93</v>
      </c>
    </row>
    <row r="6" customFormat="false" ht="26.85" hidden="false" customHeight="false" outlineLevel="0" collapsed="false">
      <c r="A6" s="15" t="s">
        <v>94</v>
      </c>
      <c r="B6" s="15" t="s">
        <v>95</v>
      </c>
      <c r="C6" s="15" t="s">
        <v>96</v>
      </c>
      <c r="D6" s="15" t="s">
        <v>97</v>
      </c>
      <c r="E6" s="16" t="n">
        <v>9000</v>
      </c>
      <c r="F6" s="16" t="n">
        <v>8420</v>
      </c>
      <c r="G6" s="17" t="n">
        <f aca="false">IF(OR(E6="",F6=""),"",F6/E6)</f>
        <v>0.935555555555556</v>
      </c>
      <c r="H6" s="18" t="str">
        <f aca="false">IF(OR(E6="",F6=""),"",IF(F6&lt;=E6,"OK","OVER"))</f>
        <v>OK</v>
      </c>
      <c r="I6" s="18" t="str">
        <f aca="false">IF(F6="","",IF(F6&lt;=$C$3,"OK","SPLIT MESH"))</f>
        <v>OK</v>
      </c>
      <c r="J6" s="15" t="s">
        <v>98</v>
      </c>
      <c r="K6" s="15" t="s">
        <v>99</v>
      </c>
      <c r="L6" s="15" t="s">
        <v>100</v>
      </c>
      <c r="M6" s="15" t="s">
        <v>101</v>
      </c>
      <c r="N6" s="15" t="s">
        <v>102</v>
      </c>
      <c r="O6" s="15" t="s">
        <v>103</v>
      </c>
    </row>
    <row r="7" customFormat="false" ht="15" hidden="false" customHeight="false" outlineLevel="0" collapsed="false">
      <c r="A7" s="11" t="s">
        <v>104</v>
      </c>
      <c r="B7" s="11" t="s">
        <v>105</v>
      </c>
      <c r="C7" s="11"/>
      <c r="D7" s="11" t="s">
        <v>97</v>
      </c>
      <c r="E7" s="19" t="n">
        <v>6000</v>
      </c>
      <c r="F7" s="19"/>
      <c r="G7" s="20" t="str">
        <f aca="false">IF(OR(E7="",F7=""),"",F7/E7)</f>
        <v/>
      </c>
      <c r="H7" s="21" t="str">
        <f aca="false">IF(OR(E7="",F7=""),"",IF(F7&lt;=E7,"OK","OVER"))</f>
        <v/>
      </c>
      <c r="I7" s="21" t="str">
        <f aca="false">IF(F7="","",IF(F7&lt;=$C$3,"OK","SPLIT MESH"))</f>
        <v/>
      </c>
      <c r="J7" s="11"/>
      <c r="K7" s="11"/>
      <c r="L7" s="11"/>
      <c r="M7" s="11"/>
      <c r="N7" s="11"/>
      <c r="O7" s="11"/>
    </row>
    <row r="8" customFormat="false" ht="15" hidden="false" customHeight="false" outlineLevel="0" collapsed="false">
      <c r="A8" s="11"/>
      <c r="B8" s="11"/>
      <c r="C8" s="11"/>
      <c r="D8" s="11"/>
      <c r="E8" s="19"/>
      <c r="F8" s="19"/>
      <c r="G8" s="20" t="str">
        <f aca="false">IF(OR(E8="",F8=""),"",F8/E8)</f>
        <v/>
      </c>
      <c r="H8" s="21" t="str">
        <f aca="false">IF(OR(E8="",F8=""),"",IF(F8&lt;=E8,"OK","OVER"))</f>
        <v/>
      </c>
      <c r="I8" s="21" t="str">
        <f aca="false">IF(F8="","",IF(F8&lt;=$C$3,"OK","SPLIT MESH"))</f>
        <v/>
      </c>
      <c r="J8" s="11"/>
      <c r="K8" s="11"/>
      <c r="L8" s="11"/>
      <c r="M8" s="11"/>
      <c r="N8" s="11"/>
      <c r="O8" s="11"/>
    </row>
    <row r="9" customFormat="false" ht="15" hidden="false" customHeight="false" outlineLevel="0" collapsed="false">
      <c r="A9" s="11"/>
      <c r="B9" s="11"/>
      <c r="C9" s="11"/>
      <c r="D9" s="11"/>
      <c r="E9" s="19"/>
      <c r="F9" s="19"/>
      <c r="G9" s="20" t="str">
        <f aca="false">IF(OR(E9="",F9=""),"",F9/E9)</f>
        <v/>
      </c>
      <c r="H9" s="21" t="str">
        <f aca="false">IF(OR(E9="",F9=""),"",IF(F9&lt;=E9,"OK","OVER"))</f>
        <v/>
      </c>
      <c r="I9" s="21" t="str">
        <f aca="false">IF(F9="","",IF(F9&lt;=$C$3,"OK","SPLIT MESH"))</f>
        <v/>
      </c>
      <c r="J9" s="11"/>
      <c r="K9" s="11"/>
      <c r="L9" s="11"/>
      <c r="M9" s="11"/>
      <c r="N9" s="11"/>
      <c r="O9" s="11"/>
    </row>
    <row r="10" customFormat="false" ht="15" hidden="false" customHeight="false" outlineLevel="0" collapsed="false">
      <c r="A10" s="11"/>
      <c r="B10" s="11"/>
      <c r="C10" s="11"/>
      <c r="D10" s="11"/>
      <c r="E10" s="19"/>
      <c r="F10" s="19"/>
      <c r="G10" s="20" t="str">
        <f aca="false">IF(OR(E10="",F10=""),"",F10/E10)</f>
        <v/>
      </c>
      <c r="H10" s="21" t="str">
        <f aca="false">IF(OR(E10="",F10=""),"",IF(F10&lt;=E10,"OK","OVER"))</f>
        <v/>
      </c>
      <c r="I10" s="21" t="str">
        <f aca="false">IF(F10="","",IF(F10&lt;=$C$3,"OK","SPLIT MESH"))</f>
        <v/>
      </c>
      <c r="J10" s="11"/>
      <c r="K10" s="11"/>
      <c r="L10" s="11"/>
      <c r="M10" s="11"/>
      <c r="N10" s="11"/>
      <c r="O10" s="11"/>
    </row>
    <row r="11" customFormat="false" ht="15" hidden="false" customHeight="false" outlineLevel="0" collapsed="false">
      <c r="A11" s="11"/>
      <c r="B11" s="11"/>
      <c r="C11" s="11"/>
      <c r="D11" s="11"/>
      <c r="E11" s="19"/>
      <c r="F11" s="19"/>
      <c r="G11" s="20" t="str">
        <f aca="false">IF(OR(E11="",F11=""),"",F11/E11)</f>
        <v/>
      </c>
      <c r="H11" s="21" t="str">
        <f aca="false">IF(OR(E11="",F11=""),"",IF(F11&lt;=E11,"OK","OVER"))</f>
        <v/>
      </c>
      <c r="I11" s="21" t="str">
        <f aca="false">IF(F11="","",IF(F11&lt;=$C$3,"OK","SPLIT MESH"))</f>
        <v/>
      </c>
      <c r="J11" s="11"/>
      <c r="K11" s="11"/>
      <c r="L11" s="11"/>
      <c r="M11" s="11"/>
      <c r="N11" s="11"/>
      <c r="O11" s="11"/>
    </row>
    <row r="12" customFormat="false" ht="15" hidden="false" customHeight="false" outlineLevel="0" collapsed="false">
      <c r="A12" s="11"/>
      <c r="B12" s="11"/>
      <c r="C12" s="11"/>
      <c r="D12" s="11"/>
      <c r="E12" s="19"/>
      <c r="F12" s="19"/>
      <c r="G12" s="20" t="str">
        <f aca="false">IF(OR(E12="",F12=""),"",F12/E12)</f>
        <v/>
      </c>
      <c r="H12" s="21" t="str">
        <f aca="false">IF(OR(E12="",F12=""),"",IF(F12&lt;=E12,"OK","OVER"))</f>
        <v/>
      </c>
      <c r="I12" s="21" t="str">
        <f aca="false">IF(F12="","",IF(F12&lt;=$C$3,"OK","SPLIT MESH"))</f>
        <v/>
      </c>
      <c r="J12" s="11"/>
      <c r="K12" s="11"/>
      <c r="L12" s="11"/>
      <c r="M12" s="11"/>
      <c r="N12" s="11"/>
      <c r="O12" s="11"/>
    </row>
    <row r="13" customFormat="false" ht="15" hidden="false" customHeight="false" outlineLevel="0" collapsed="false">
      <c r="A13" s="11"/>
      <c r="B13" s="11"/>
      <c r="C13" s="11"/>
      <c r="D13" s="11"/>
      <c r="E13" s="19"/>
      <c r="F13" s="19"/>
      <c r="G13" s="20" t="str">
        <f aca="false">IF(OR(E13="",F13=""),"",F13/E13)</f>
        <v/>
      </c>
      <c r="H13" s="21" t="str">
        <f aca="false">IF(OR(E13="",F13=""),"",IF(F13&lt;=E13,"OK","OVER"))</f>
        <v/>
      </c>
      <c r="I13" s="21" t="str">
        <f aca="false">IF(F13="","",IF(F13&lt;=$C$3,"OK","SPLIT MESH"))</f>
        <v/>
      </c>
      <c r="J13" s="11"/>
      <c r="K13" s="11"/>
      <c r="L13" s="11"/>
      <c r="M13" s="11"/>
      <c r="N13" s="11"/>
      <c r="O13" s="11"/>
    </row>
    <row r="14" customFormat="false" ht="15" hidden="false" customHeight="false" outlineLevel="0" collapsed="false">
      <c r="A14" s="11"/>
      <c r="B14" s="11"/>
      <c r="C14" s="11"/>
      <c r="D14" s="11"/>
      <c r="E14" s="19"/>
      <c r="F14" s="19"/>
      <c r="G14" s="20" t="str">
        <f aca="false">IF(OR(E14="",F14=""),"",F14/E14)</f>
        <v/>
      </c>
      <c r="H14" s="21" t="str">
        <f aca="false">IF(OR(E14="",F14=""),"",IF(F14&lt;=E14,"OK","OVER"))</f>
        <v/>
      </c>
      <c r="I14" s="21" t="str">
        <f aca="false">IF(F14="","",IF(F14&lt;=$C$3,"OK","SPLIT MESH"))</f>
        <v/>
      </c>
      <c r="J14" s="11"/>
      <c r="K14" s="11"/>
      <c r="L14" s="11"/>
      <c r="M14" s="11"/>
      <c r="N14" s="11"/>
      <c r="O14" s="11"/>
    </row>
    <row r="15" customFormat="false" ht="15" hidden="false" customHeight="false" outlineLevel="0" collapsed="false">
      <c r="A15" s="11"/>
      <c r="B15" s="11"/>
      <c r="C15" s="11"/>
      <c r="D15" s="11"/>
      <c r="E15" s="19"/>
      <c r="F15" s="19"/>
      <c r="G15" s="20" t="str">
        <f aca="false">IF(OR(E15="",F15=""),"",F15/E15)</f>
        <v/>
      </c>
      <c r="H15" s="21" t="str">
        <f aca="false">IF(OR(E15="",F15=""),"",IF(F15&lt;=E15,"OK","OVER"))</f>
        <v/>
      </c>
      <c r="I15" s="21" t="str">
        <f aca="false">IF(F15="","",IF(F15&lt;=$C$3,"OK","SPLIT MESH"))</f>
        <v/>
      </c>
      <c r="J15" s="11"/>
      <c r="K15" s="11"/>
      <c r="L15" s="11"/>
      <c r="M15" s="11"/>
      <c r="N15" s="11"/>
      <c r="O15" s="11"/>
    </row>
    <row r="16" customFormat="false" ht="15" hidden="false" customHeight="false" outlineLevel="0" collapsed="false">
      <c r="A16" s="11"/>
      <c r="B16" s="11"/>
      <c r="C16" s="11"/>
      <c r="D16" s="11"/>
      <c r="E16" s="19"/>
      <c r="F16" s="19"/>
      <c r="G16" s="20" t="str">
        <f aca="false">IF(OR(E16="",F16=""),"",F16/E16)</f>
        <v/>
      </c>
      <c r="H16" s="21" t="str">
        <f aca="false">IF(OR(E16="",F16=""),"",IF(F16&lt;=E16,"OK","OVER"))</f>
        <v/>
      </c>
      <c r="I16" s="21" t="str">
        <f aca="false">IF(F16="","",IF(F16&lt;=$C$3,"OK","SPLIT MESH"))</f>
        <v/>
      </c>
      <c r="J16" s="11"/>
      <c r="K16" s="11"/>
      <c r="L16" s="11"/>
      <c r="M16" s="11"/>
      <c r="N16" s="11"/>
      <c r="O16" s="11"/>
    </row>
    <row r="17" customFormat="false" ht="15" hidden="false" customHeight="false" outlineLevel="0" collapsed="false">
      <c r="A17" s="11"/>
      <c r="B17" s="11"/>
      <c r="C17" s="11"/>
      <c r="D17" s="11"/>
      <c r="E17" s="19"/>
      <c r="F17" s="19"/>
      <c r="G17" s="20" t="str">
        <f aca="false">IF(OR(E17="",F17=""),"",F17/E17)</f>
        <v/>
      </c>
      <c r="H17" s="21" t="str">
        <f aca="false">IF(OR(E17="",F17=""),"",IF(F17&lt;=E17,"OK","OVER"))</f>
        <v/>
      </c>
      <c r="I17" s="21" t="str">
        <f aca="false">IF(F17="","",IF(F17&lt;=$C$3,"OK","SPLIT MESH"))</f>
        <v/>
      </c>
      <c r="J17" s="11"/>
      <c r="K17" s="11"/>
      <c r="L17" s="11"/>
      <c r="M17" s="11"/>
      <c r="N17" s="11"/>
      <c r="O17" s="11"/>
    </row>
    <row r="18" customFormat="false" ht="15" hidden="false" customHeight="false" outlineLevel="0" collapsed="false">
      <c r="A18" s="11"/>
      <c r="B18" s="11"/>
      <c r="C18" s="11"/>
      <c r="D18" s="11"/>
      <c r="E18" s="19"/>
      <c r="F18" s="19"/>
      <c r="G18" s="20" t="str">
        <f aca="false">IF(OR(E18="",F18=""),"",F18/E18)</f>
        <v/>
      </c>
      <c r="H18" s="21" t="str">
        <f aca="false">IF(OR(E18="",F18=""),"",IF(F18&lt;=E18,"OK","OVER"))</f>
        <v/>
      </c>
      <c r="I18" s="21" t="str">
        <f aca="false">IF(F18="","",IF(F18&lt;=$C$3,"OK","SPLIT MESH"))</f>
        <v/>
      </c>
      <c r="J18" s="11"/>
      <c r="K18" s="11"/>
      <c r="L18" s="11"/>
      <c r="M18" s="11"/>
      <c r="N18" s="11"/>
      <c r="O18" s="11"/>
    </row>
    <row r="19" customFormat="false" ht="15" hidden="false" customHeight="false" outlineLevel="0" collapsed="false">
      <c r="A19" s="11"/>
      <c r="B19" s="11"/>
      <c r="C19" s="11"/>
      <c r="D19" s="11"/>
      <c r="E19" s="19"/>
      <c r="F19" s="19"/>
      <c r="G19" s="20" t="str">
        <f aca="false">IF(OR(E19="",F19=""),"",F19/E19)</f>
        <v/>
      </c>
      <c r="H19" s="21" t="str">
        <f aca="false">IF(OR(E19="",F19=""),"",IF(F19&lt;=E19,"OK","OVER"))</f>
        <v/>
      </c>
      <c r="I19" s="21" t="str">
        <f aca="false">IF(F19="","",IF(F19&lt;=$C$3,"OK","SPLIT MESH"))</f>
        <v/>
      </c>
      <c r="J19" s="11"/>
      <c r="K19" s="11"/>
      <c r="L19" s="11"/>
      <c r="M19" s="11"/>
      <c r="N19" s="11"/>
      <c r="O19" s="11"/>
    </row>
    <row r="20" customFormat="false" ht="15" hidden="false" customHeight="false" outlineLevel="0" collapsed="false">
      <c r="A20" s="11"/>
      <c r="B20" s="11"/>
      <c r="C20" s="11"/>
      <c r="D20" s="11"/>
      <c r="E20" s="19"/>
      <c r="F20" s="19"/>
      <c r="G20" s="20" t="str">
        <f aca="false">IF(OR(E20="",F20=""),"",F20/E20)</f>
        <v/>
      </c>
      <c r="H20" s="21" t="str">
        <f aca="false">IF(OR(E20="",F20=""),"",IF(F20&lt;=E20,"OK","OVER"))</f>
        <v/>
      </c>
      <c r="I20" s="21" t="str">
        <f aca="false">IF(F20="","",IF(F20&lt;=$C$3,"OK","SPLIT MESH"))</f>
        <v/>
      </c>
      <c r="J20" s="11"/>
      <c r="K20" s="11"/>
      <c r="L20" s="11"/>
      <c r="M20" s="11"/>
      <c r="N20" s="11"/>
      <c r="O20" s="11"/>
    </row>
    <row r="21" customFormat="false" ht="15" hidden="false" customHeight="false" outlineLevel="0" collapsed="false">
      <c r="A21" s="11"/>
      <c r="B21" s="11"/>
      <c r="C21" s="11"/>
      <c r="D21" s="11"/>
      <c r="E21" s="19"/>
      <c r="F21" s="19"/>
      <c r="G21" s="20" t="str">
        <f aca="false">IF(OR(E21="",F21=""),"",F21/E21)</f>
        <v/>
      </c>
      <c r="H21" s="21" t="str">
        <f aca="false">IF(OR(E21="",F21=""),"",IF(F21&lt;=E21,"OK","OVER"))</f>
        <v/>
      </c>
      <c r="I21" s="21" t="str">
        <f aca="false">IF(F21="","",IF(F21&lt;=$C$3,"OK","SPLIT MESH"))</f>
        <v/>
      </c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A22" s="11"/>
      <c r="B22" s="11"/>
      <c r="C22" s="11"/>
      <c r="D22" s="11"/>
      <c r="E22" s="19"/>
      <c r="F22" s="19"/>
      <c r="G22" s="20" t="str">
        <f aca="false">IF(OR(E22="",F22=""),"",F22/E22)</f>
        <v/>
      </c>
      <c r="H22" s="21" t="str">
        <f aca="false">IF(OR(E22="",F22=""),"",IF(F22&lt;=E22,"OK","OVER"))</f>
        <v/>
      </c>
      <c r="I22" s="21" t="str">
        <f aca="false">IF(F22="","",IF(F22&lt;=$C$3,"OK","SPLIT MESH"))</f>
        <v/>
      </c>
      <c r="J22" s="11"/>
      <c r="K22" s="11"/>
      <c r="L22" s="11"/>
      <c r="M22" s="11"/>
      <c r="N22" s="11"/>
      <c r="O22" s="11"/>
    </row>
    <row r="23" customFormat="false" ht="15" hidden="false" customHeight="false" outlineLevel="0" collapsed="false">
      <c r="A23" s="11"/>
      <c r="B23" s="11"/>
      <c r="C23" s="11"/>
      <c r="D23" s="11"/>
      <c r="E23" s="19"/>
      <c r="F23" s="19"/>
      <c r="G23" s="20" t="str">
        <f aca="false">IF(OR(E23="",F23=""),"",F23/E23)</f>
        <v/>
      </c>
      <c r="H23" s="21" t="str">
        <f aca="false">IF(OR(E23="",F23=""),"",IF(F23&lt;=E23,"OK","OVER"))</f>
        <v/>
      </c>
      <c r="I23" s="21" t="str">
        <f aca="false">IF(F23="","",IF(F23&lt;=$C$3,"OK","SPLIT MESH"))</f>
        <v/>
      </c>
      <c r="J23" s="11"/>
      <c r="K23" s="11"/>
      <c r="L23" s="11"/>
      <c r="M23" s="11"/>
      <c r="N23" s="11"/>
      <c r="O23" s="11"/>
    </row>
    <row r="24" customFormat="false" ht="15" hidden="false" customHeight="false" outlineLevel="0" collapsed="false">
      <c r="A24" s="11"/>
      <c r="B24" s="11"/>
      <c r="C24" s="11"/>
      <c r="D24" s="11"/>
      <c r="E24" s="19"/>
      <c r="F24" s="19"/>
      <c r="G24" s="20" t="str">
        <f aca="false">IF(OR(E24="",F24=""),"",F24/E24)</f>
        <v/>
      </c>
      <c r="H24" s="21" t="str">
        <f aca="false">IF(OR(E24="",F24=""),"",IF(F24&lt;=E24,"OK","OVER"))</f>
        <v/>
      </c>
      <c r="I24" s="21" t="str">
        <f aca="false">IF(F24="","",IF(F24&lt;=$C$3,"OK","SPLIT MESH"))</f>
        <v/>
      </c>
      <c r="J24" s="11"/>
      <c r="K24" s="11"/>
      <c r="L24" s="11"/>
      <c r="M24" s="11"/>
      <c r="N24" s="11"/>
      <c r="O24" s="11"/>
    </row>
    <row r="25" customFormat="false" ht="15" hidden="false" customHeight="false" outlineLevel="0" collapsed="false">
      <c r="A25" s="11"/>
      <c r="B25" s="11"/>
      <c r="C25" s="11"/>
      <c r="D25" s="11"/>
      <c r="E25" s="19"/>
      <c r="F25" s="19"/>
      <c r="G25" s="20" t="str">
        <f aca="false">IF(OR(E25="",F25=""),"",F25/E25)</f>
        <v/>
      </c>
      <c r="H25" s="21" t="str">
        <f aca="false">IF(OR(E25="",F25=""),"",IF(F25&lt;=E25,"OK","OVER"))</f>
        <v/>
      </c>
      <c r="I25" s="21" t="str">
        <f aca="false">IF(F25="","",IF(F25&lt;=$C$3,"OK","SPLIT MESH"))</f>
        <v/>
      </c>
      <c r="J25" s="11"/>
      <c r="K25" s="11"/>
      <c r="L25" s="11"/>
      <c r="M25" s="11"/>
      <c r="N25" s="11"/>
      <c r="O25" s="11"/>
    </row>
    <row r="26" customFormat="false" ht="15" hidden="false" customHeight="false" outlineLevel="0" collapsed="false">
      <c r="A26" s="11"/>
      <c r="B26" s="11"/>
      <c r="C26" s="11"/>
      <c r="D26" s="11"/>
      <c r="E26" s="19"/>
      <c r="F26" s="19"/>
      <c r="G26" s="20" t="str">
        <f aca="false">IF(OR(E26="",F26=""),"",F26/E26)</f>
        <v/>
      </c>
      <c r="H26" s="21" t="str">
        <f aca="false">IF(OR(E26="",F26=""),"",IF(F26&lt;=E26,"OK","OVER"))</f>
        <v/>
      </c>
      <c r="I26" s="21" t="str">
        <f aca="false">IF(F26="","",IF(F26&lt;=$C$3,"OK","SPLIT MESH"))</f>
        <v/>
      </c>
      <c r="J26" s="11"/>
      <c r="K26" s="11"/>
      <c r="L26" s="11"/>
      <c r="M26" s="11"/>
      <c r="N26" s="11"/>
      <c r="O26" s="11"/>
    </row>
    <row r="27" customFormat="false" ht="15" hidden="false" customHeight="false" outlineLevel="0" collapsed="false">
      <c r="A27" s="11"/>
      <c r="B27" s="11"/>
      <c r="C27" s="11"/>
      <c r="D27" s="11"/>
      <c r="E27" s="19"/>
      <c r="F27" s="19"/>
      <c r="G27" s="20" t="str">
        <f aca="false">IF(OR(E27="",F27=""),"",F27/E27)</f>
        <v/>
      </c>
      <c r="H27" s="21" t="str">
        <f aca="false">IF(OR(E27="",F27=""),"",IF(F27&lt;=E27,"OK","OVER"))</f>
        <v/>
      </c>
      <c r="I27" s="21" t="str">
        <f aca="false">IF(F27="","",IF(F27&lt;=$C$3,"OK","SPLIT MESH"))</f>
        <v/>
      </c>
      <c r="J27" s="11"/>
      <c r="K27" s="11"/>
      <c r="L27" s="11"/>
      <c r="M27" s="11"/>
      <c r="N27" s="11"/>
      <c r="O27" s="11"/>
    </row>
    <row r="28" customFormat="false" ht="15" hidden="false" customHeight="false" outlineLevel="0" collapsed="false">
      <c r="A28" s="11"/>
      <c r="B28" s="11"/>
      <c r="C28" s="11"/>
      <c r="D28" s="11"/>
      <c r="E28" s="19"/>
      <c r="F28" s="19"/>
      <c r="G28" s="20" t="str">
        <f aca="false">IF(OR(E28="",F28=""),"",F28/E28)</f>
        <v/>
      </c>
      <c r="H28" s="21" t="str">
        <f aca="false">IF(OR(E28="",F28=""),"",IF(F28&lt;=E28,"OK","OVER"))</f>
        <v/>
      </c>
      <c r="I28" s="21" t="str">
        <f aca="false">IF(F28="","",IF(F28&lt;=$C$3,"OK","SPLIT MESH"))</f>
        <v/>
      </c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A29" s="11"/>
      <c r="B29" s="11"/>
      <c r="C29" s="11"/>
      <c r="D29" s="11"/>
      <c r="E29" s="19"/>
      <c r="F29" s="19"/>
      <c r="G29" s="20" t="str">
        <f aca="false">IF(OR(E29="",F29=""),"",F29/E29)</f>
        <v/>
      </c>
      <c r="H29" s="21" t="str">
        <f aca="false">IF(OR(E29="",F29=""),"",IF(F29&lt;=E29,"OK","OVER"))</f>
        <v/>
      </c>
      <c r="I29" s="21" t="str">
        <f aca="false">IF(F29="","",IF(F29&lt;=$C$3,"OK","SPLIT MESH"))</f>
        <v/>
      </c>
      <c r="J29" s="11"/>
      <c r="K29" s="11"/>
      <c r="L29" s="11"/>
      <c r="M29" s="11"/>
      <c r="N29" s="11"/>
      <c r="O29" s="11"/>
    </row>
    <row r="30" customFormat="false" ht="15" hidden="false" customHeight="false" outlineLevel="0" collapsed="false">
      <c r="A30" s="11"/>
      <c r="B30" s="11"/>
      <c r="C30" s="11"/>
      <c r="D30" s="11"/>
      <c r="E30" s="19"/>
      <c r="F30" s="19"/>
      <c r="G30" s="20" t="str">
        <f aca="false">IF(OR(E30="",F30=""),"",F30/E30)</f>
        <v/>
      </c>
      <c r="H30" s="21" t="str">
        <f aca="false">IF(OR(E30="",F30=""),"",IF(F30&lt;=E30,"OK","OVER"))</f>
        <v/>
      </c>
      <c r="I30" s="21" t="str">
        <f aca="false">IF(F30="","",IF(F30&lt;=$C$3,"OK","SPLIT MESH"))</f>
        <v/>
      </c>
      <c r="J30" s="11"/>
      <c r="K30" s="11"/>
      <c r="L30" s="11"/>
      <c r="M30" s="11"/>
      <c r="N30" s="11"/>
      <c r="O30" s="11"/>
    </row>
    <row r="31" customFormat="false" ht="15" hidden="false" customHeight="false" outlineLevel="0" collapsed="false">
      <c r="A31" s="11"/>
      <c r="B31" s="11"/>
      <c r="C31" s="11"/>
      <c r="D31" s="11"/>
      <c r="E31" s="19"/>
      <c r="F31" s="19"/>
      <c r="G31" s="20" t="str">
        <f aca="false">IF(OR(E31="",F31=""),"",F31/E31)</f>
        <v/>
      </c>
      <c r="H31" s="21" t="str">
        <f aca="false">IF(OR(E31="",F31=""),"",IF(F31&lt;=E31,"OK","OVER"))</f>
        <v/>
      </c>
      <c r="I31" s="21" t="str">
        <f aca="false">IF(F31="","",IF(F31&lt;=$C$3,"OK","SPLIT MESH"))</f>
        <v/>
      </c>
      <c r="J31" s="11"/>
      <c r="K31" s="11"/>
      <c r="L31" s="11"/>
      <c r="M31" s="11"/>
      <c r="N31" s="11"/>
      <c r="O31" s="11"/>
    </row>
    <row r="32" customFormat="false" ht="15" hidden="false" customHeight="false" outlineLevel="0" collapsed="false">
      <c r="A32" s="11"/>
      <c r="B32" s="11"/>
      <c r="C32" s="11"/>
      <c r="D32" s="11"/>
      <c r="E32" s="19"/>
      <c r="F32" s="19"/>
      <c r="G32" s="20" t="str">
        <f aca="false">IF(OR(E32="",F32=""),"",F32/E32)</f>
        <v/>
      </c>
      <c r="H32" s="21" t="str">
        <f aca="false">IF(OR(E32="",F32=""),"",IF(F32&lt;=E32,"OK","OVER"))</f>
        <v/>
      </c>
      <c r="I32" s="21" t="str">
        <f aca="false">IF(F32="","",IF(F32&lt;=$C$3,"OK","SPLIT MESH"))</f>
        <v/>
      </c>
      <c r="J32" s="11"/>
      <c r="K32" s="11"/>
      <c r="L32" s="11"/>
      <c r="M32" s="11"/>
      <c r="N32" s="11"/>
      <c r="O32" s="11"/>
    </row>
    <row r="33" customFormat="false" ht="15" hidden="false" customHeight="false" outlineLevel="0" collapsed="false">
      <c r="A33" s="11"/>
      <c r="B33" s="11"/>
      <c r="C33" s="11"/>
      <c r="D33" s="11"/>
      <c r="E33" s="19"/>
      <c r="F33" s="19"/>
      <c r="G33" s="20" t="str">
        <f aca="false">IF(OR(E33="",F33=""),"",F33/E33)</f>
        <v/>
      </c>
      <c r="H33" s="21" t="str">
        <f aca="false">IF(OR(E33="",F33=""),"",IF(F33&lt;=E33,"OK","OVER"))</f>
        <v/>
      </c>
      <c r="I33" s="21" t="str">
        <f aca="false">IF(F33="","",IF(F33&lt;=$C$3,"OK","SPLIT MESH"))</f>
        <v/>
      </c>
      <c r="J33" s="11"/>
      <c r="K33" s="11"/>
      <c r="L33" s="11"/>
      <c r="M33" s="11"/>
      <c r="N33" s="11"/>
      <c r="O33" s="11"/>
    </row>
    <row r="34" customFormat="false" ht="15" hidden="false" customHeight="false" outlineLevel="0" collapsed="false">
      <c r="A34" s="11"/>
      <c r="B34" s="11"/>
      <c r="C34" s="11"/>
      <c r="D34" s="11"/>
      <c r="E34" s="19"/>
      <c r="F34" s="19"/>
      <c r="G34" s="20" t="str">
        <f aca="false">IF(OR(E34="",F34=""),"",F34/E34)</f>
        <v/>
      </c>
      <c r="H34" s="21" t="str">
        <f aca="false">IF(OR(E34="",F34=""),"",IF(F34&lt;=E34,"OK","OVER"))</f>
        <v/>
      </c>
      <c r="I34" s="21" t="str">
        <f aca="false">IF(F34="","",IF(F34&lt;=$C$3,"OK","SPLIT MESH"))</f>
        <v/>
      </c>
      <c r="J34" s="11"/>
      <c r="K34" s="11"/>
      <c r="L34" s="11"/>
      <c r="M34" s="11"/>
      <c r="N34" s="11"/>
      <c r="O34" s="11"/>
    </row>
    <row r="35" customFormat="false" ht="15" hidden="false" customHeight="false" outlineLevel="0" collapsed="false">
      <c r="A35" s="11"/>
      <c r="B35" s="11"/>
      <c r="C35" s="11"/>
      <c r="D35" s="11"/>
      <c r="E35" s="19"/>
      <c r="F35" s="19"/>
      <c r="G35" s="20" t="str">
        <f aca="false">IF(OR(E35="",F35=""),"",F35/E35)</f>
        <v/>
      </c>
      <c r="H35" s="21" t="str">
        <f aca="false">IF(OR(E35="",F35=""),"",IF(F35&lt;=E35,"OK","OVER"))</f>
        <v/>
      </c>
      <c r="I35" s="21" t="str">
        <f aca="false">IF(F35="","",IF(F35&lt;=$C$3,"OK","SPLIT MESH"))</f>
        <v/>
      </c>
      <c r="J35" s="11"/>
      <c r="K35" s="11"/>
      <c r="L35" s="11"/>
      <c r="M35" s="11"/>
      <c r="N35" s="11"/>
      <c r="O35" s="11"/>
    </row>
    <row r="36" customFormat="false" ht="15" hidden="false" customHeight="false" outlineLevel="0" collapsed="false">
      <c r="A36" s="22"/>
      <c r="B36" s="22" t="s">
        <v>106</v>
      </c>
      <c r="C36" s="22"/>
      <c r="D36" s="22"/>
      <c r="E36" s="23" t="n">
        <f aca="false">SUMIF(D6:D35,"LOD0",E6:E35)</f>
        <v>15000</v>
      </c>
      <c r="F36" s="23" t="n">
        <f aca="false">SUMIF(D6:D35,"LOD0",F6:F35)</f>
        <v>8420</v>
      </c>
      <c r="G36" s="24" t="n">
        <f aca="false">IF(E36=0,"",F36/E36)</f>
        <v>0.561333333333333</v>
      </c>
      <c r="H36" s="22" t="str">
        <f aca="false">COUNTIF(H6:H35,"OVER")&amp;" over"</f>
        <v>0 over</v>
      </c>
      <c r="I36" s="22" t="str">
        <f aca="false">COUNTIF(I6:I35,"SPLIT MESH")&amp;" to split"</f>
        <v>0 to split</v>
      </c>
      <c r="J36" s="22"/>
      <c r="K36" s="22"/>
      <c r="L36" s="22"/>
      <c r="M36" s="22"/>
      <c r="N36" s="22"/>
      <c r="O36" s="22"/>
    </row>
  </sheetData>
  <conditionalFormatting sqref="H6:H35">
    <cfRule type="cellIs" priority="2" operator="equal" aboveAverage="0" equalAverage="0" bottom="0" percent="0" rank="0" text="" dxfId="0">
      <formula>"OK"</formula>
    </cfRule>
    <cfRule type="expression" priority="3" aboveAverage="0" equalAverage="0" bottom="0" percent="0" rank="0" text="" dxfId="1">
      <formula>OR(H6="OVER",H6="SPLIT MESH")</formula>
    </cfRule>
  </conditionalFormatting>
  <conditionalFormatting sqref="I6:I35">
    <cfRule type="cellIs" priority="4" operator="equal" aboveAverage="0" equalAverage="0" bottom="0" percent="0" rank="0" text="" dxfId="0">
      <formula>"OK"</formula>
    </cfRule>
    <cfRule type="expression" priority="5" aboveAverage="0" equalAverage="0" bottom="0" percent="0" rank="0" text="" dxfId="1">
      <formula>OR(I6="OVER",I6="SPLIT MESH")</formula>
    </cfRule>
  </conditionalFormatting>
  <conditionalFormatting sqref="M6:M35">
    <cfRule type="cellIs" priority="6" operator="equal" aboveAverage="0" equalAverage="0" bottom="0" percent="0" rank="0" text="" dxfId="1">
      <formula>"Rejected"</formula>
    </cfRule>
    <cfRule type="expression" priority="7" aboveAverage="0" equalAverage="0" bottom="0" percent="0" rank="0" text="" dxfId="0">
      <formula>OR(M6="Approved",M6="Uploaded")</formula>
    </cfRule>
  </conditionalFormatting>
  <dataValidations count="3">
    <dataValidation allowBlank="true" errorStyle="stop" operator="between" showDropDown="false" showErrorMessage="false" showInputMessage="false" sqref="D6:D35" type="list">
      <formula1>"LOD0,LOD1,LOD2,Collision"</formula1>
      <formula2>0</formula2>
    </dataValidation>
    <dataValidation allowBlank="true" errorStyle="stop" operator="between" showDropDown="false" showErrorMessage="false" showInputMessage="false" sqref="L6:L35" type="list">
      <formula1>"Yes,No"</formula1>
      <formula2>0</formula2>
    </dataValidation>
    <dataValidation allowBlank="true" errorStyle="stop" operator="between" showDropDown="false" showErrorMessage="false" showInputMessage="false" sqref="M6:M35" type="list">
      <formula1>"Not started,Blockout,Sculpt,Retopo,UV,Textured,Review,Rejected,Approved,Uploaded"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C8DBC"/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31.5" hidden="false" customHeight="true" outlineLevel="0" collapsed="false">
      <c r="A4" s="9" t="s">
        <v>82</v>
      </c>
      <c r="B4" s="9" t="s">
        <v>109</v>
      </c>
      <c r="C4" s="9" t="s">
        <v>110</v>
      </c>
      <c r="D4" s="9" t="s">
        <v>111</v>
      </c>
      <c r="E4" s="9" t="s">
        <v>112</v>
      </c>
      <c r="F4" s="9" t="s">
        <v>93</v>
      </c>
    </row>
    <row r="5" customFormat="false" ht="15" hidden="false" customHeight="false" outlineLevel="0" collapsed="false">
      <c r="A5" s="21" t="s">
        <v>97</v>
      </c>
      <c r="B5" s="19" t="n">
        <v>18000</v>
      </c>
      <c r="C5" s="25" t="n">
        <f aca="false">SUMIF(Parts!$D$6:$D$35,A5,Parts!$F$6:$F$35)</f>
        <v>8420</v>
      </c>
      <c r="D5" s="21" t="str">
        <f aca="false">IF(C5=0,"",IF(C5&lt;=B5,"OK","OVER"))</f>
        <v>OK</v>
      </c>
      <c r="E5" s="11" t="n">
        <v>0</v>
      </c>
      <c r="F5" s="11" t="s">
        <v>113</v>
      </c>
    </row>
    <row r="6" customFormat="false" ht="15" hidden="false" customHeight="false" outlineLevel="0" collapsed="false">
      <c r="A6" s="21" t="s">
        <v>114</v>
      </c>
      <c r="B6" s="19" t="n">
        <v>8000</v>
      </c>
      <c r="C6" s="25" t="n">
        <f aca="false">SUMIF(Parts!$D$6:$D$35,A6,Parts!$F$6:$F$35)</f>
        <v>0</v>
      </c>
      <c r="D6" s="21" t="str">
        <f aca="false">IF(C6=0,"",IF(C6&lt;=B6,"OK","OVER"))</f>
        <v/>
      </c>
      <c r="E6" s="11" t="n">
        <v>40</v>
      </c>
      <c r="F6" s="11" t="s">
        <v>115</v>
      </c>
    </row>
    <row r="7" customFormat="false" ht="15" hidden="false" customHeight="false" outlineLevel="0" collapsed="false">
      <c r="A7" s="21" t="s">
        <v>116</v>
      </c>
      <c r="B7" s="19" t="n">
        <v>2500</v>
      </c>
      <c r="C7" s="25" t="n">
        <f aca="false">SUMIF(Parts!$D$6:$D$35,A7,Parts!$F$6:$F$35)</f>
        <v>0</v>
      </c>
      <c r="D7" s="21" t="str">
        <f aca="false">IF(C7=0,"",IF(C7&lt;=B7,"OK","OVER"))</f>
        <v/>
      </c>
      <c r="E7" s="11" t="n">
        <v>90</v>
      </c>
      <c r="F7" s="11" t="s">
        <v>117</v>
      </c>
    </row>
  </sheetData>
  <conditionalFormatting sqref="D5:D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6CC0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31.5" hidden="false" customHeight="true" outlineLevel="0" collapsed="false">
      <c r="A4" s="9" t="s">
        <v>79</v>
      </c>
      <c r="B4" s="9" t="s">
        <v>120</v>
      </c>
      <c r="C4" s="9" t="s">
        <v>121</v>
      </c>
      <c r="D4" s="9" t="s">
        <v>122</v>
      </c>
      <c r="E4" s="9" t="s">
        <v>123</v>
      </c>
      <c r="F4" s="9" t="s">
        <v>124</v>
      </c>
      <c r="G4" s="9" t="s">
        <v>92</v>
      </c>
      <c r="H4" s="9" t="s">
        <v>125</v>
      </c>
      <c r="I4" s="9" t="s">
        <v>93</v>
      </c>
    </row>
    <row r="5" customFormat="false" ht="26.85" hidden="false" customHeight="false" outlineLevel="0" collapsed="false">
      <c r="A5" s="15" t="s">
        <v>99</v>
      </c>
      <c r="B5" s="15" t="s">
        <v>126</v>
      </c>
      <c r="C5" s="15" t="s">
        <v>127</v>
      </c>
      <c r="D5" s="15" t="n">
        <v>1024</v>
      </c>
      <c r="E5" s="18" t="str">
        <f aca="false">IF(D5="","",IF(D5&lt;=1024,"OK",IF(D5&lt;=2048,"HERO ONLY","TOO BIG")))</f>
        <v>OK</v>
      </c>
      <c r="F5" s="15" t="s">
        <v>128</v>
      </c>
      <c r="G5" s="15" t="s">
        <v>129</v>
      </c>
      <c r="H5" s="15"/>
      <c r="I5" s="15" t="s">
        <v>130</v>
      </c>
    </row>
    <row r="6" customFormat="false" ht="15" hidden="false" customHeight="false" outlineLevel="0" collapsed="false">
      <c r="A6" s="11"/>
      <c r="B6" s="11"/>
      <c r="C6" s="11"/>
      <c r="D6" s="11"/>
      <c r="E6" s="21" t="str">
        <f aca="false">IF(D6="","",IF(D6&lt;=1024,"OK",IF(D6&lt;=2048,"HERO ONLY","TOO BIG")))</f>
        <v/>
      </c>
      <c r="F6" s="11"/>
      <c r="G6" s="11"/>
      <c r="H6" s="11"/>
      <c r="I6" s="11"/>
    </row>
    <row r="7" customFormat="false" ht="15" hidden="false" customHeight="false" outlineLevel="0" collapsed="false">
      <c r="A7" s="11"/>
      <c r="B7" s="11"/>
      <c r="C7" s="11"/>
      <c r="D7" s="11"/>
      <c r="E7" s="21" t="str">
        <f aca="false">IF(D7="","",IF(D7&lt;=1024,"OK",IF(D7&lt;=2048,"HERO ONLY","TOO BIG")))</f>
        <v/>
      </c>
      <c r="F7" s="11"/>
      <c r="G7" s="11"/>
      <c r="H7" s="11"/>
      <c r="I7" s="11"/>
    </row>
    <row r="8" customFormat="false" ht="15" hidden="false" customHeight="false" outlineLevel="0" collapsed="false">
      <c r="A8" s="11"/>
      <c r="B8" s="11"/>
      <c r="C8" s="11"/>
      <c r="D8" s="11"/>
      <c r="E8" s="21" t="str">
        <f aca="false">IF(D8="","",IF(D8&lt;=1024,"OK",IF(D8&lt;=2048,"HERO ONLY","TOO BIG")))</f>
        <v/>
      </c>
      <c r="F8" s="11"/>
      <c r="G8" s="11"/>
      <c r="H8" s="11"/>
      <c r="I8" s="11"/>
    </row>
    <row r="9" customFormat="false" ht="15" hidden="false" customHeight="false" outlineLevel="0" collapsed="false">
      <c r="A9" s="11"/>
      <c r="B9" s="11"/>
      <c r="C9" s="11"/>
      <c r="D9" s="11"/>
      <c r="E9" s="21" t="str">
        <f aca="false">IF(D9="","",IF(D9&lt;=1024,"OK",IF(D9&lt;=2048,"HERO ONLY","TOO BIG")))</f>
        <v/>
      </c>
      <c r="F9" s="11"/>
      <c r="G9" s="11"/>
      <c r="H9" s="11"/>
      <c r="I9" s="11"/>
    </row>
    <row r="10" customFormat="false" ht="15" hidden="false" customHeight="false" outlineLevel="0" collapsed="false">
      <c r="A10" s="11"/>
      <c r="B10" s="11"/>
      <c r="C10" s="11"/>
      <c r="D10" s="11"/>
      <c r="E10" s="21" t="str">
        <f aca="false">IF(D10="","",IF(D10&lt;=1024,"OK",IF(D10&lt;=2048,"HERO ONLY","TOO BIG")))</f>
        <v/>
      </c>
      <c r="F10" s="11"/>
      <c r="G10" s="11"/>
      <c r="H10" s="11"/>
      <c r="I10" s="11"/>
    </row>
    <row r="11" customFormat="false" ht="15" hidden="false" customHeight="false" outlineLevel="0" collapsed="false">
      <c r="A11" s="11"/>
      <c r="B11" s="11"/>
      <c r="C11" s="11"/>
      <c r="D11" s="11"/>
      <c r="E11" s="21" t="str">
        <f aca="false">IF(D11="","",IF(D11&lt;=1024,"OK",IF(D11&lt;=2048,"HERO ONLY","TOO BIG")))</f>
        <v/>
      </c>
      <c r="F11" s="11"/>
      <c r="G11" s="11"/>
      <c r="H11" s="11"/>
      <c r="I11" s="11"/>
    </row>
    <row r="12" customFormat="false" ht="15" hidden="false" customHeight="false" outlineLevel="0" collapsed="false">
      <c r="A12" s="11"/>
      <c r="B12" s="11"/>
      <c r="C12" s="11"/>
      <c r="D12" s="11"/>
      <c r="E12" s="21" t="str">
        <f aca="false">IF(D12="","",IF(D12&lt;=1024,"OK",IF(D12&lt;=2048,"HERO ONLY","TOO BIG")))</f>
        <v/>
      </c>
      <c r="F12" s="11"/>
      <c r="G12" s="11"/>
      <c r="H12" s="11"/>
      <c r="I12" s="11"/>
    </row>
    <row r="13" customFormat="false" ht="15" hidden="false" customHeight="false" outlineLevel="0" collapsed="false">
      <c r="A13" s="11"/>
      <c r="B13" s="11"/>
      <c r="C13" s="11"/>
      <c r="D13" s="11"/>
      <c r="E13" s="21" t="str">
        <f aca="false">IF(D13="","",IF(D13&lt;=1024,"OK",IF(D13&lt;=2048,"HERO ONLY","TOO BIG")))</f>
        <v/>
      </c>
      <c r="F13" s="11"/>
      <c r="G13" s="11"/>
      <c r="H13" s="11"/>
      <c r="I13" s="11"/>
    </row>
    <row r="14" customFormat="false" ht="15" hidden="false" customHeight="false" outlineLevel="0" collapsed="false">
      <c r="A14" s="11"/>
      <c r="B14" s="11"/>
      <c r="C14" s="11"/>
      <c r="D14" s="11"/>
      <c r="E14" s="21" t="str">
        <f aca="false">IF(D14="","",IF(D14&lt;=1024,"OK",IF(D14&lt;=2048,"HERO ONLY","TOO BIG")))</f>
        <v/>
      </c>
      <c r="F14" s="11"/>
      <c r="G14" s="11"/>
      <c r="H14" s="11"/>
      <c r="I14" s="11"/>
    </row>
    <row r="15" customFormat="false" ht="15" hidden="false" customHeight="false" outlineLevel="0" collapsed="false">
      <c r="A15" s="11"/>
      <c r="B15" s="11"/>
      <c r="C15" s="11"/>
      <c r="D15" s="11"/>
      <c r="E15" s="21" t="str">
        <f aca="false">IF(D15="","",IF(D15&lt;=1024,"OK",IF(D15&lt;=2048,"HERO ONLY","TOO BIG")))</f>
        <v/>
      </c>
      <c r="F15" s="11"/>
      <c r="G15" s="11"/>
      <c r="H15" s="11"/>
      <c r="I15" s="11"/>
    </row>
    <row r="16" customFormat="false" ht="15" hidden="false" customHeight="false" outlineLevel="0" collapsed="false">
      <c r="A16" s="11"/>
      <c r="B16" s="11"/>
      <c r="C16" s="11"/>
      <c r="D16" s="11"/>
      <c r="E16" s="21" t="str">
        <f aca="false">IF(D16="","",IF(D16&lt;=1024,"OK",IF(D16&lt;=2048,"HERO ONLY","TOO BIG")))</f>
        <v/>
      </c>
      <c r="F16" s="11"/>
      <c r="G16" s="11"/>
      <c r="H16" s="11"/>
      <c r="I16" s="11"/>
    </row>
    <row r="17" customFormat="false" ht="15" hidden="false" customHeight="false" outlineLevel="0" collapsed="false">
      <c r="A17" s="11"/>
      <c r="B17" s="11"/>
      <c r="C17" s="11"/>
      <c r="D17" s="11"/>
      <c r="E17" s="21" t="str">
        <f aca="false">IF(D17="","",IF(D17&lt;=1024,"OK",IF(D17&lt;=2048,"HERO ONLY","TOO BIG")))</f>
        <v/>
      </c>
      <c r="F17" s="11"/>
      <c r="G17" s="11"/>
      <c r="H17" s="11"/>
      <c r="I17" s="11"/>
    </row>
    <row r="18" customFormat="false" ht="15" hidden="false" customHeight="false" outlineLevel="0" collapsed="false">
      <c r="A18" s="11"/>
      <c r="B18" s="11"/>
      <c r="C18" s="11"/>
      <c r="D18" s="11"/>
      <c r="E18" s="21" t="str">
        <f aca="false">IF(D18="","",IF(D18&lt;=1024,"OK",IF(D18&lt;=2048,"HERO ONLY","TOO BIG")))</f>
        <v/>
      </c>
      <c r="F18" s="11"/>
      <c r="G18" s="11"/>
      <c r="H18" s="11"/>
      <c r="I18" s="11"/>
    </row>
    <row r="19" customFormat="false" ht="15" hidden="false" customHeight="false" outlineLevel="0" collapsed="false">
      <c r="A19" s="11"/>
      <c r="B19" s="11"/>
      <c r="C19" s="11"/>
      <c r="D19" s="11"/>
      <c r="E19" s="21" t="str">
        <f aca="false">IF(D19="","",IF(D19&lt;=1024,"OK",IF(D19&lt;=2048,"HERO ONLY","TOO BIG")))</f>
        <v/>
      </c>
      <c r="F19" s="11"/>
      <c r="G19" s="11"/>
      <c r="H19" s="11"/>
      <c r="I19" s="11"/>
    </row>
    <row r="20" customFormat="false" ht="15" hidden="false" customHeight="false" outlineLevel="0" collapsed="false">
      <c r="A20" s="11"/>
      <c r="B20" s="11"/>
      <c r="C20" s="11"/>
      <c r="D20" s="11"/>
      <c r="E20" s="21" t="str">
        <f aca="false">IF(D20="","",IF(D20&lt;=1024,"OK",IF(D20&lt;=2048,"HERO ONLY","TOO BIG")))</f>
        <v/>
      </c>
      <c r="F20" s="11"/>
      <c r="G20" s="11"/>
      <c r="H20" s="11"/>
      <c r="I20" s="11"/>
    </row>
    <row r="21" customFormat="false" ht="15" hidden="false" customHeight="false" outlineLevel="0" collapsed="false">
      <c r="A21" s="11"/>
      <c r="B21" s="11"/>
      <c r="C21" s="11"/>
      <c r="D21" s="11"/>
      <c r="E21" s="21" t="str">
        <f aca="false">IF(D21="","",IF(D21&lt;=1024,"OK",IF(D21&lt;=2048,"HERO ONLY","TOO BIG")))</f>
        <v/>
      </c>
      <c r="F21" s="11"/>
      <c r="G21" s="11"/>
      <c r="H21" s="11"/>
      <c r="I21" s="11"/>
    </row>
    <row r="22" customFormat="false" ht="15" hidden="false" customHeight="false" outlineLevel="0" collapsed="false">
      <c r="A22" s="11"/>
      <c r="B22" s="11"/>
      <c r="C22" s="11"/>
      <c r="D22" s="11"/>
      <c r="E22" s="21" t="str">
        <f aca="false">IF(D22="","",IF(D22&lt;=1024,"OK",IF(D22&lt;=2048,"HERO ONLY","TOO BIG")))</f>
        <v/>
      </c>
      <c r="F22" s="11"/>
      <c r="G22" s="11"/>
      <c r="H22" s="11"/>
      <c r="I22" s="11"/>
    </row>
    <row r="23" customFormat="false" ht="15" hidden="false" customHeight="false" outlineLevel="0" collapsed="false">
      <c r="A23" s="11"/>
      <c r="B23" s="11"/>
      <c r="C23" s="11"/>
      <c r="D23" s="11"/>
      <c r="E23" s="21" t="str">
        <f aca="false">IF(D23="","",IF(D23&lt;=1024,"OK",IF(D23&lt;=2048,"HERO ONLY","TOO BIG")))</f>
        <v/>
      </c>
      <c r="F23" s="11"/>
      <c r="G23" s="11"/>
      <c r="H23" s="11"/>
      <c r="I23" s="11"/>
    </row>
    <row r="24" customFormat="false" ht="15" hidden="false" customHeight="false" outlineLevel="0" collapsed="false">
      <c r="A24" s="11"/>
      <c r="B24" s="11"/>
      <c r="C24" s="11"/>
      <c r="D24" s="11"/>
      <c r="E24" s="21" t="str">
        <f aca="false">IF(D24="","",IF(D24&lt;=1024,"OK",IF(D24&lt;=2048,"HERO ONLY","TOO BIG")))</f>
        <v/>
      </c>
      <c r="F24" s="11"/>
      <c r="G24" s="11"/>
      <c r="H24" s="11"/>
      <c r="I24" s="11"/>
    </row>
  </sheetData>
  <conditionalFormatting sqref="E5:E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"TOO BIG"</formula>
    </cfRule>
    <cfRule type="cellIs" priority="4" operator="equal" aboveAverage="0" equalAverage="0" bottom="0" percent="0" rank="0" text="" dxfId="2">
      <formula>"HERO ONLY"</formula>
    </cfRule>
  </conditionalFormatting>
  <dataValidations count="2">
    <dataValidation allowBlank="true" errorStyle="stop" operator="between" showDropDown="false" showErrorMessage="false" showInputMessage="false" sqref="C5:C24" type="list">
      <formula1>"Color,Normal,Roughness,Metalness,Palette atlas,Decal,Flipbook"</formula1>
      <formula2>0</formula2>
    </dataValidation>
    <dataValidation allowBlank="true" errorStyle="stop" operator="between" showDropDown="false" showErrorMessage="false" showInputMessage="false" sqref="D5:D24" type="list">
      <formula1>"256,512,1024,2048"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E5B"/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31.5" hidden="false" customHeight="true" outlineLevel="0" collapsed="false">
      <c r="A4" s="9" t="s">
        <v>133</v>
      </c>
      <c r="B4" s="9" t="s">
        <v>134</v>
      </c>
      <c r="C4" s="9" t="s">
        <v>111</v>
      </c>
      <c r="D4" s="9" t="s">
        <v>135</v>
      </c>
      <c r="E4" s="9" t="s">
        <v>136</v>
      </c>
      <c r="F4" s="9" t="s">
        <v>137</v>
      </c>
      <c r="G4" s="9" t="s">
        <v>93</v>
      </c>
    </row>
    <row r="5" customFormat="false" ht="26.85" hidden="false" customHeight="false" outlineLevel="0" collapsed="false">
      <c r="A5" s="21" t="n">
        <v>1</v>
      </c>
      <c r="B5" s="21" t="s">
        <v>138</v>
      </c>
      <c r="C5" s="21" t="s">
        <v>139</v>
      </c>
      <c r="D5" s="21" t="s">
        <v>140</v>
      </c>
      <c r="E5" s="11" t="s">
        <v>141</v>
      </c>
      <c r="F5" s="11"/>
      <c r="G5" s="11"/>
    </row>
    <row r="6" customFormat="false" ht="15" hidden="false" customHeight="false" outlineLevel="0" collapsed="false">
      <c r="A6" s="21" t="n">
        <v>2</v>
      </c>
      <c r="B6" s="21" t="s">
        <v>138</v>
      </c>
      <c r="C6" s="21" t="s">
        <v>142</v>
      </c>
      <c r="D6" s="21" t="s">
        <v>143</v>
      </c>
      <c r="E6" s="11" t="s">
        <v>141</v>
      </c>
      <c r="F6" s="11"/>
      <c r="G6" s="11"/>
    </row>
    <row r="7" customFormat="false" ht="15" hidden="false" customHeight="false" outlineLevel="0" collapsed="false">
      <c r="A7" s="21" t="n">
        <v>3</v>
      </c>
      <c r="B7" s="21" t="s">
        <v>138</v>
      </c>
      <c r="C7" s="21" t="s">
        <v>144</v>
      </c>
      <c r="D7" s="21" t="s">
        <v>145</v>
      </c>
      <c r="E7" s="11" t="s">
        <v>141</v>
      </c>
      <c r="F7" s="11"/>
      <c r="G7" s="11"/>
    </row>
    <row r="8" customFormat="false" ht="26.85" hidden="false" customHeight="false" outlineLevel="0" collapsed="false">
      <c r="A8" s="21" t="n">
        <v>4</v>
      </c>
      <c r="B8" s="21" t="s">
        <v>138</v>
      </c>
      <c r="C8" s="21" t="s">
        <v>146</v>
      </c>
      <c r="D8" s="21" t="s">
        <v>147</v>
      </c>
      <c r="E8" s="11" t="s">
        <v>141</v>
      </c>
      <c r="F8" s="11"/>
      <c r="G8" s="11"/>
    </row>
    <row r="9" customFormat="false" ht="26.85" hidden="false" customHeight="false" outlineLevel="0" collapsed="false">
      <c r="A9" s="21" t="n">
        <v>5</v>
      </c>
      <c r="B9" s="21" t="s">
        <v>148</v>
      </c>
      <c r="C9" s="21" t="s">
        <v>149</v>
      </c>
      <c r="D9" s="21" t="s">
        <v>150</v>
      </c>
      <c r="E9" s="11" t="s">
        <v>141</v>
      </c>
      <c r="F9" s="11"/>
      <c r="G9" s="11"/>
    </row>
    <row r="10" customFormat="false" ht="15" hidden="false" customHeight="false" outlineLevel="0" collapsed="false">
      <c r="A10" s="21" t="n">
        <v>6</v>
      </c>
      <c r="B10" s="21" t="s">
        <v>148</v>
      </c>
      <c r="C10" s="21" t="s">
        <v>151</v>
      </c>
      <c r="D10" s="21" t="s">
        <v>152</v>
      </c>
      <c r="E10" s="11" t="s">
        <v>141</v>
      </c>
      <c r="F10" s="11"/>
      <c r="G10" s="11"/>
    </row>
    <row r="11" customFormat="false" ht="26.85" hidden="false" customHeight="false" outlineLevel="0" collapsed="false">
      <c r="A11" s="21" t="n">
        <v>7</v>
      </c>
      <c r="B11" s="21" t="s">
        <v>148</v>
      </c>
      <c r="C11" s="21" t="s">
        <v>153</v>
      </c>
      <c r="D11" s="21" t="s">
        <v>154</v>
      </c>
      <c r="E11" s="11" t="s">
        <v>141</v>
      </c>
      <c r="F11" s="11"/>
      <c r="G11" s="11"/>
    </row>
    <row r="12" customFormat="false" ht="26.85" hidden="false" customHeight="false" outlineLevel="0" collapsed="false">
      <c r="A12" s="21" t="n">
        <v>8</v>
      </c>
      <c r="B12" s="21" t="s">
        <v>148</v>
      </c>
      <c r="C12" s="21" t="s">
        <v>155</v>
      </c>
      <c r="D12" s="21" t="s">
        <v>156</v>
      </c>
      <c r="E12" s="11" t="s">
        <v>141</v>
      </c>
      <c r="F12" s="11"/>
      <c r="G12" s="11"/>
    </row>
    <row r="13" customFormat="false" ht="26.85" hidden="false" customHeight="false" outlineLevel="0" collapsed="false">
      <c r="A13" s="21" t="n">
        <v>9</v>
      </c>
      <c r="B13" s="21" t="s">
        <v>148</v>
      </c>
      <c r="C13" s="21" t="s">
        <v>157</v>
      </c>
      <c r="D13" s="21" t="s">
        <v>158</v>
      </c>
      <c r="E13" s="11" t="s">
        <v>141</v>
      </c>
      <c r="F13" s="11"/>
      <c r="G13" s="11"/>
    </row>
    <row r="14" customFormat="false" ht="15" hidden="false" customHeight="false" outlineLevel="0" collapsed="false">
      <c r="A14" s="21" t="n">
        <v>10</v>
      </c>
      <c r="B14" s="21" t="s">
        <v>159</v>
      </c>
      <c r="C14" s="21" t="s">
        <v>160</v>
      </c>
      <c r="D14" s="21" t="s">
        <v>161</v>
      </c>
      <c r="E14" s="11" t="s">
        <v>141</v>
      </c>
      <c r="F14" s="11"/>
      <c r="G14" s="11"/>
    </row>
    <row r="15" customFormat="false" ht="15" hidden="false" customHeight="false" outlineLevel="0" collapsed="false">
      <c r="A15" s="21" t="n">
        <v>11</v>
      </c>
      <c r="B15" s="21" t="s">
        <v>159</v>
      </c>
      <c r="C15" s="21" t="s">
        <v>162</v>
      </c>
      <c r="D15" s="21" t="s">
        <v>163</v>
      </c>
      <c r="E15" s="11" t="s">
        <v>141</v>
      </c>
      <c r="F15" s="11"/>
      <c r="G15" s="11"/>
    </row>
    <row r="16" customFormat="false" ht="15" hidden="false" customHeight="false" outlineLevel="0" collapsed="false">
      <c r="A16" s="21" t="n">
        <v>12</v>
      </c>
      <c r="B16" s="21" t="s">
        <v>159</v>
      </c>
      <c r="C16" s="21" t="s">
        <v>164</v>
      </c>
      <c r="D16" s="21" t="s">
        <v>163</v>
      </c>
      <c r="E16" s="11" t="s">
        <v>141</v>
      </c>
      <c r="F16" s="11"/>
      <c r="G16" s="11"/>
    </row>
    <row r="17" customFormat="false" ht="26.85" hidden="false" customHeight="false" outlineLevel="0" collapsed="false">
      <c r="A17" s="21" t="n">
        <v>13</v>
      </c>
      <c r="B17" s="21" t="s">
        <v>165</v>
      </c>
      <c r="C17" s="21" t="s">
        <v>166</v>
      </c>
      <c r="D17" s="21" t="s">
        <v>167</v>
      </c>
      <c r="E17" s="11" t="s">
        <v>141</v>
      </c>
      <c r="F17" s="11"/>
      <c r="G17" s="11"/>
    </row>
    <row r="18" customFormat="false" ht="26.85" hidden="false" customHeight="false" outlineLevel="0" collapsed="false">
      <c r="A18" s="21" t="n">
        <v>14</v>
      </c>
      <c r="B18" s="21" t="s">
        <v>165</v>
      </c>
      <c r="C18" s="21" t="s">
        <v>168</v>
      </c>
      <c r="D18" s="21" t="s">
        <v>169</v>
      </c>
      <c r="E18" s="11" t="s">
        <v>141</v>
      </c>
      <c r="F18" s="11"/>
      <c r="G18" s="11"/>
    </row>
    <row r="19" customFormat="false" ht="26.85" hidden="false" customHeight="false" outlineLevel="0" collapsed="false">
      <c r="A19" s="21" t="n">
        <v>15</v>
      </c>
      <c r="B19" s="21" t="s">
        <v>165</v>
      </c>
      <c r="C19" s="21" t="s">
        <v>170</v>
      </c>
      <c r="D19" s="21" t="s">
        <v>171</v>
      </c>
      <c r="E19" s="11" t="s">
        <v>141</v>
      </c>
      <c r="F19" s="11"/>
      <c r="G19" s="11"/>
    </row>
    <row r="20" customFormat="false" ht="15" hidden="false" customHeight="false" outlineLevel="0" collapsed="false">
      <c r="A20" s="21" t="n">
        <v>16</v>
      </c>
      <c r="B20" s="21" t="s">
        <v>165</v>
      </c>
      <c r="C20" s="21" t="s">
        <v>172</v>
      </c>
      <c r="D20" s="21" t="s">
        <v>173</v>
      </c>
      <c r="E20" s="11" t="s">
        <v>141</v>
      </c>
      <c r="F20" s="11"/>
      <c r="G20" s="11"/>
    </row>
    <row r="21" customFormat="false" ht="26.85" hidden="false" customHeight="false" outlineLevel="0" collapsed="false">
      <c r="A21" s="21" t="n">
        <v>17</v>
      </c>
      <c r="B21" s="21" t="s">
        <v>174</v>
      </c>
      <c r="C21" s="21" t="s">
        <v>175</v>
      </c>
      <c r="D21" s="21" t="s">
        <v>176</v>
      </c>
      <c r="E21" s="11" t="s">
        <v>141</v>
      </c>
      <c r="F21" s="11"/>
      <c r="G21" s="11"/>
    </row>
    <row r="22" customFormat="false" ht="15" hidden="false" customHeight="false" outlineLevel="0" collapsed="false">
      <c r="A22" s="21" t="n">
        <v>18</v>
      </c>
      <c r="B22" s="21" t="s">
        <v>174</v>
      </c>
      <c r="C22" s="21" t="s">
        <v>177</v>
      </c>
      <c r="D22" s="21" t="s">
        <v>178</v>
      </c>
      <c r="E22" s="11" t="s">
        <v>141</v>
      </c>
      <c r="F22" s="11"/>
      <c r="G22" s="11"/>
    </row>
    <row r="23" customFormat="false" ht="15" hidden="false" customHeight="false" outlineLevel="0" collapsed="false">
      <c r="A23" s="21" t="n">
        <v>19</v>
      </c>
      <c r="B23" s="21" t="s">
        <v>174</v>
      </c>
      <c r="C23" s="21" t="s">
        <v>179</v>
      </c>
      <c r="D23" s="21" t="s">
        <v>180</v>
      </c>
      <c r="E23" s="11" t="s">
        <v>141</v>
      </c>
      <c r="F23" s="11"/>
      <c r="G23" s="11"/>
    </row>
    <row r="24" customFormat="false" ht="15" hidden="false" customHeight="false" outlineLevel="0" collapsed="false">
      <c r="A24" s="21" t="n">
        <v>20</v>
      </c>
      <c r="B24" s="21" t="s">
        <v>181</v>
      </c>
      <c r="C24" s="21" t="s">
        <v>182</v>
      </c>
      <c r="D24" s="21" t="s">
        <v>183</v>
      </c>
      <c r="E24" s="11" t="s">
        <v>141</v>
      </c>
      <c r="F24" s="11"/>
      <c r="G24" s="11"/>
    </row>
    <row r="25" customFormat="false" ht="26.85" hidden="false" customHeight="false" outlineLevel="0" collapsed="false">
      <c r="A25" s="21" t="n">
        <v>21</v>
      </c>
      <c r="B25" s="21" t="s">
        <v>181</v>
      </c>
      <c r="C25" s="21" t="s">
        <v>184</v>
      </c>
      <c r="D25" s="21" t="s">
        <v>185</v>
      </c>
      <c r="E25" s="11" t="s">
        <v>141</v>
      </c>
      <c r="F25" s="11"/>
      <c r="G25" s="11"/>
    </row>
    <row r="26" customFormat="false" ht="15" hidden="false" customHeight="false" outlineLevel="0" collapsed="false">
      <c r="A26" s="21" t="n">
        <v>22</v>
      </c>
      <c r="B26" s="21" t="s">
        <v>181</v>
      </c>
      <c r="C26" s="21" t="s">
        <v>186</v>
      </c>
      <c r="D26" s="21" t="s">
        <v>187</v>
      </c>
      <c r="E26" s="11" t="s">
        <v>141</v>
      </c>
      <c r="F26" s="11"/>
      <c r="G26" s="11"/>
    </row>
    <row r="27" customFormat="false" ht="15" hidden="false" customHeight="false" outlineLevel="0" collapsed="false">
      <c r="A27" s="21" t="n">
        <v>23</v>
      </c>
      <c r="B27" s="21" t="s">
        <v>181</v>
      </c>
      <c r="C27" s="21" t="s">
        <v>188</v>
      </c>
      <c r="D27" s="21" t="s">
        <v>189</v>
      </c>
      <c r="E27" s="11" t="s">
        <v>141</v>
      </c>
      <c r="F27" s="11"/>
      <c r="G27" s="11"/>
    </row>
    <row r="28" customFormat="false" ht="15" hidden="false" customHeight="false" outlineLevel="0" collapsed="false">
      <c r="A28" s="21" t="n">
        <v>24</v>
      </c>
      <c r="B28" s="21" t="s">
        <v>190</v>
      </c>
      <c r="C28" s="21" t="s">
        <v>191</v>
      </c>
      <c r="D28" s="21" t="s">
        <v>192</v>
      </c>
      <c r="E28" s="11" t="s">
        <v>141</v>
      </c>
      <c r="F28" s="11"/>
      <c r="G28" s="11"/>
    </row>
    <row r="30" customFormat="false" ht="15" hidden="false" customHeight="false" outlineLevel="0" collapsed="false">
      <c r="C30" s="26" t="s">
        <v>193</v>
      </c>
      <c r="D30" s="22" t="n">
        <f aca="false">COUNTIF(E5:E28,"Pass")</f>
        <v>0</v>
      </c>
    </row>
    <row r="31" customFormat="false" ht="15" hidden="false" customHeight="false" outlineLevel="0" collapsed="false">
      <c r="C31" s="26" t="s">
        <v>194</v>
      </c>
      <c r="D31" s="22" t="n">
        <f aca="false">COUNTIF(E5:E28,"N/A")</f>
        <v>0</v>
      </c>
    </row>
    <row r="32" customFormat="false" ht="15" hidden="false" customHeight="false" outlineLevel="0" collapsed="false">
      <c r="C32" s="26" t="s">
        <v>195</v>
      </c>
      <c r="D32" s="22" t="n">
        <f aca="false">COUNTIF(E5:E28,"Fail")</f>
        <v>0</v>
      </c>
    </row>
    <row r="33" customFormat="false" ht="15" hidden="false" customHeight="false" outlineLevel="0" collapsed="false">
      <c r="C33" s="26" t="s">
        <v>141</v>
      </c>
      <c r="D33" s="22" t="n">
        <f aca="false">COUNTIF(E5:E28,"Pending")</f>
        <v>24</v>
      </c>
    </row>
    <row r="34" customFormat="false" ht="15" hidden="false" customHeight="false" outlineLevel="0" collapsed="false">
      <c r="C34" s="26" t="s">
        <v>196</v>
      </c>
      <c r="D34" s="22" t="n">
        <f aca="false">COUNTA(C5:C28)</f>
        <v>24</v>
      </c>
    </row>
    <row r="35" customFormat="false" ht="15" hidden="false" customHeight="false" outlineLevel="0" collapsed="false">
      <c r="C35" s="26" t="s">
        <v>197</v>
      </c>
      <c r="D35" s="22" t="str">
        <f aca="false">IF(AND(D32=0,D33=0,D30+D31=D34),"PASS","NOT YET")</f>
        <v>NOT YET</v>
      </c>
    </row>
  </sheetData>
  <conditionalFormatting sqref="E5:E2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D35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"NOT YET"</formula>
    </cfRule>
  </conditionalFormatting>
  <dataValidations count="1">
    <dataValidation allowBlank="true" errorStyle="stop" operator="between" showDropDown="false" showErrorMessage="false" showInputMessage="false" sqref="E5:E28" type="list">
      <formula1>"Pending,Pass,Fail,N/A"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31.5" hidden="false" customHeight="true" outlineLevel="0" collapsed="false">
      <c r="A4" s="9" t="s">
        <v>200</v>
      </c>
      <c r="B4" s="9" t="s">
        <v>201</v>
      </c>
      <c r="C4" s="9" t="s">
        <v>125</v>
      </c>
      <c r="D4" s="9" t="s">
        <v>202</v>
      </c>
      <c r="E4" s="9" t="s">
        <v>203</v>
      </c>
      <c r="F4" s="9" t="s">
        <v>204</v>
      </c>
      <c r="G4" s="9" t="s">
        <v>205</v>
      </c>
      <c r="H4" s="9" t="s">
        <v>93</v>
      </c>
    </row>
    <row r="5" customFormat="false" ht="26.85" hidden="false" customHeight="false" outlineLevel="0" collapsed="false">
      <c r="A5" s="15" t="s">
        <v>206</v>
      </c>
      <c r="B5" s="15" t="s">
        <v>207</v>
      </c>
      <c r="C5" s="15"/>
      <c r="D5" s="15" t="s">
        <v>208</v>
      </c>
      <c r="E5" s="27"/>
      <c r="F5" s="15" t="s">
        <v>209</v>
      </c>
      <c r="G5" s="15" t="s">
        <v>72</v>
      </c>
      <c r="H5" s="15" t="s">
        <v>210</v>
      </c>
    </row>
    <row r="6" customFormat="false" ht="15" hidden="false" customHeight="false" outlineLevel="0" collapsed="false">
      <c r="A6" s="11"/>
      <c r="B6" s="11"/>
      <c r="C6" s="11"/>
      <c r="D6" s="11"/>
      <c r="E6" s="28"/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28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28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28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28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28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28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28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28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28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28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28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28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28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28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28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28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28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28"/>
      <c r="F24" s="11"/>
      <c r="G24" s="11"/>
      <c r="H24" s="11"/>
    </row>
  </sheetData>
  <dataValidations count="3">
    <dataValidation allowBlank="true" errorStyle="stop" operator="between" showDropDown="false" showErrorMessage="false" showInputMessage="false" sqref="B5:B24" type="list">
      <formula1>"Mesh,Image,Audio,Model"</formula1>
      <formula2>0</formula2>
    </dataValidation>
    <dataValidation allowBlank="true" errorStyle="stop" operator="between" showDropDown="false" showErrorMessage="false" showInputMessage="false" sqref="D5:D24" type="list">
      <formula1>"User 513451560,Group RougeAgent"</formula1>
      <formula2>0</formula2>
    </dataValidation>
    <dataValidation allowBlank="true" errorStyle="stop" operator="between" showDropDown="false" showErrorMessage="false" showInputMessage="false" sqref="G5:G2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2" t="s">
        <v>212</v>
      </c>
    </row>
    <row r="4" customFormat="false" ht="31.5" hidden="false" customHeight="true" outlineLevel="0" collapsed="false">
      <c r="A4" s="9" t="s">
        <v>213</v>
      </c>
      <c r="B4" s="9" t="s">
        <v>214</v>
      </c>
      <c r="C4" s="9" t="s">
        <v>215</v>
      </c>
      <c r="D4" s="9" t="s">
        <v>216</v>
      </c>
      <c r="E4" s="9" t="s">
        <v>217</v>
      </c>
      <c r="F4" s="9" t="s">
        <v>218</v>
      </c>
    </row>
    <row r="5" customFormat="false" ht="26.85" hidden="false" customHeight="false" outlineLevel="0" collapsed="false">
      <c r="A5" s="11" t="s">
        <v>219</v>
      </c>
      <c r="B5" s="11" t="s">
        <v>220</v>
      </c>
      <c r="C5" s="11" t="s">
        <v>221</v>
      </c>
      <c r="D5" s="11" t="s">
        <v>100</v>
      </c>
      <c r="E5" s="11" t="s">
        <v>100</v>
      </c>
      <c r="F5" s="11" t="s">
        <v>222</v>
      </c>
    </row>
    <row r="6" customFormat="false" ht="26.85" hidden="false" customHeight="false" outlineLevel="0" collapsed="false">
      <c r="A6" s="11" t="s">
        <v>223</v>
      </c>
      <c r="B6" s="11" t="s">
        <v>224</v>
      </c>
      <c r="C6" s="11" t="s">
        <v>221</v>
      </c>
      <c r="D6" s="11" t="s">
        <v>225</v>
      </c>
      <c r="E6" s="11" t="s">
        <v>72</v>
      </c>
      <c r="F6" s="11" t="s">
        <v>226</v>
      </c>
    </row>
    <row r="7" customFormat="false" ht="26.85" hidden="false" customHeight="false" outlineLevel="0" collapsed="false">
      <c r="A7" s="11" t="s">
        <v>227</v>
      </c>
      <c r="B7" s="11" t="s">
        <v>228</v>
      </c>
      <c r="C7" s="11" t="s">
        <v>221</v>
      </c>
      <c r="D7" s="11" t="s">
        <v>100</v>
      </c>
      <c r="E7" s="11" t="s">
        <v>100</v>
      </c>
      <c r="F7" s="11" t="s">
        <v>229</v>
      </c>
    </row>
    <row r="8" customFormat="false" ht="26.85" hidden="false" customHeight="false" outlineLevel="0" collapsed="false">
      <c r="A8" s="11" t="s">
        <v>230</v>
      </c>
      <c r="B8" s="11" t="s">
        <v>231</v>
      </c>
      <c r="C8" s="11" t="s">
        <v>221</v>
      </c>
      <c r="D8" s="11" t="s">
        <v>100</v>
      </c>
      <c r="E8" s="11" t="s">
        <v>100</v>
      </c>
      <c r="F8" s="11" t="s">
        <v>232</v>
      </c>
    </row>
    <row r="9" customFormat="false" ht="26.85" hidden="false" customHeight="false" outlineLevel="0" collapsed="false">
      <c r="A9" s="11" t="s">
        <v>233</v>
      </c>
      <c r="B9" s="11" t="s">
        <v>234</v>
      </c>
      <c r="C9" s="11" t="s">
        <v>221</v>
      </c>
      <c r="D9" s="11" t="s">
        <v>235</v>
      </c>
      <c r="E9" s="11" t="s">
        <v>236</v>
      </c>
      <c r="F9" s="11" t="s">
        <v>237</v>
      </c>
    </row>
    <row r="10" customFormat="false" ht="26.85" hidden="false" customHeight="false" outlineLevel="0" collapsed="false">
      <c r="A10" s="11" t="s">
        <v>238</v>
      </c>
      <c r="B10" s="11" t="s">
        <v>239</v>
      </c>
      <c r="C10" s="11" t="s">
        <v>221</v>
      </c>
      <c r="D10" s="11" t="s">
        <v>100</v>
      </c>
      <c r="E10" s="11" t="s">
        <v>100</v>
      </c>
      <c r="F10" s="11" t="s">
        <v>240</v>
      </c>
    </row>
    <row r="11" customFormat="false" ht="15" hidden="false" customHeight="false" outlineLevel="0" collapsed="false">
      <c r="A11" s="11" t="s">
        <v>241</v>
      </c>
      <c r="B11" s="11" t="s">
        <v>242</v>
      </c>
      <c r="C11" s="11" t="s">
        <v>221</v>
      </c>
      <c r="D11" s="11" t="s">
        <v>100</v>
      </c>
      <c r="E11" s="11" t="s">
        <v>100</v>
      </c>
      <c r="F11" s="11"/>
    </row>
    <row r="12" customFormat="false" ht="26.85" hidden="false" customHeight="false" outlineLevel="0" collapsed="false">
      <c r="A12" s="11" t="s">
        <v>243</v>
      </c>
      <c r="B12" s="11" t="s">
        <v>244</v>
      </c>
      <c r="C12" s="11" t="s">
        <v>221</v>
      </c>
      <c r="D12" s="11" t="s">
        <v>100</v>
      </c>
      <c r="E12" s="11" t="s">
        <v>245</v>
      </c>
      <c r="F12" s="11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2026-09-30T14:57:20Z</dcterms:created>
  <dc:creator>openpyxl</dc:creator>
  <dc:description/>
  <dc:language>en-US</dc:language>
  <cp:lastModifiedBy/>
  <dcterms:modified xsi:type="dcterms:W3CDTF">2026-09-30T14:57:20Z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